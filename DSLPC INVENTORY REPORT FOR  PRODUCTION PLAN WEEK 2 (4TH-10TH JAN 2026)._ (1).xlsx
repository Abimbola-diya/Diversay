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16432564d6ca0e1/Documents/"/>
    </mc:Choice>
  </mc:AlternateContent>
  <xr:revisionPtr revIDLastSave="5" documentId="8_{7AC9A115-1B68-42DA-B4C4-28312FF6BAD4}" xr6:coauthVersionLast="47" xr6:coauthVersionMax="47" xr10:uidLastSave="{329F21AB-7943-4F21-8750-702FF9B8D9C8}"/>
  <bookViews>
    <workbookView xWindow="-120" yWindow="-120" windowWidth="20730" windowHeight="11040" xr2:uid="{00000000-000D-0000-FFFF-FFFF00000000}"/>
  </bookViews>
  <sheets>
    <sheet name="DSLP RAW MATERIALS WK 2" sheetId="12" r:id="rId1"/>
    <sheet name="DSLP FG WK 2" sheetId="3" r:id="rId2"/>
    <sheet name="DSL WEEK 2" sheetId="10" r:id="rId3"/>
    <sheet name="SLOW MOVING" sheetId="6" r:id="rId4"/>
    <sheet name="SHELF LIFE ANALYSIS" sheetId="11" r:id="rId5"/>
    <sheet name="STOCK OU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0" l="1"/>
  <c r="K8" i="10"/>
  <c r="K13" i="10"/>
  <c r="K15" i="10"/>
  <c r="K16" i="10"/>
  <c r="K17" i="10"/>
  <c r="K18" i="10"/>
  <c r="K19" i="10"/>
  <c r="K20" i="10"/>
  <c r="K21" i="10"/>
  <c r="K23" i="10"/>
  <c r="K24" i="10"/>
  <c r="K26" i="10"/>
  <c r="K27" i="10"/>
  <c r="K28" i="10"/>
  <c r="K31" i="10"/>
  <c r="K32" i="10"/>
  <c r="K33" i="10"/>
  <c r="K34" i="10"/>
  <c r="K36" i="10"/>
  <c r="K37" i="10"/>
  <c r="K38" i="10"/>
  <c r="K39" i="10"/>
  <c r="K41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82" i="10"/>
  <c r="K83" i="10"/>
  <c r="K84" i="10"/>
  <c r="K89" i="10"/>
  <c r="K90" i="10"/>
  <c r="K91" i="10"/>
  <c r="K92" i="10"/>
  <c r="K96" i="10"/>
  <c r="K97" i="10"/>
  <c r="K98" i="10"/>
  <c r="K99" i="10"/>
  <c r="K100" i="10"/>
  <c r="K101" i="10"/>
  <c r="K104" i="10"/>
  <c r="K105" i="10"/>
  <c r="K106" i="10"/>
  <c r="K108" i="10"/>
  <c r="K110" i="10"/>
  <c r="K111" i="10"/>
  <c r="K113" i="10"/>
  <c r="K116" i="10"/>
  <c r="K5" i="10"/>
  <c r="E109" i="10"/>
  <c r="K109" i="10" s="1"/>
  <c r="I109" i="10"/>
  <c r="E95" i="10"/>
  <c r="K95" i="10" s="1"/>
  <c r="E94" i="10"/>
  <c r="K94" i="10" s="1"/>
  <c r="E93" i="10"/>
  <c r="K93" i="10" s="1"/>
  <c r="E92" i="10"/>
  <c r="E88" i="10"/>
  <c r="K88" i="10" s="1"/>
  <c r="E87" i="10"/>
  <c r="K87" i="10" s="1"/>
  <c r="E86" i="10"/>
  <c r="K86" i="10" s="1"/>
  <c r="E85" i="10"/>
  <c r="K85" i="10" s="1"/>
  <c r="E82" i="10"/>
  <c r="E81" i="10"/>
  <c r="K81" i="10" s="1"/>
  <c r="E80" i="10"/>
  <c r="K80" i="10" s="1"/>
  <c r="E79" i="10"/>
  <c r="K79" i="10" s="1"/>
  <c r="E78" i="10"/>
  <c r="K78" i="10" s="1"/>
  <c r="E77" i="10"/>
  <c r="K77" i="10" s="1"/>
  <c r="E76" i="10"/>
  <c r="E42" i="10"/>
  <c r="E40" i="10"/>
  <c r="K40" i="10" s="1"/>
  <c r="G24" i="3"/>
  <c r="G4" i="3"/>
  <c r="I115" i="10"/>
  <c r="K115" i="10" s="1"/>
  <c r="I25" i="3"/>
  <c r="J21" i="3"/>
  <c r="J18" i="3"/>
  <c r="J4" i="3"/>
  <c r="J14" i="3"/>
  <c r="J10" i="3"/>
  <c r="J5" i="3"/>
  <c r="G35" i="10"/>
  <c r="G12" i="10"/>
  <c r="G10" i="10"/>
  <c r="I27" i="3"/>
  <c r="I24" i="3"/>
  <c r="I23" i="3"/>
  <c r="I21" i="3"/>
  <c r="I17" i="3"/>
  <c r="I18" i="3"/>
  <c r="I15" i="3"/>
  <c r="I12" i="3"/>
  <c r="I10" i="3"/>
  <c r="I7" i="3"/>
  <c r="I5" i="3"/>
  <c r="I4" i="3"/>
  <c r="E11" i="10"/>
  <c r="K11" i="10" s="1"/>
  <c r="E12" i="10"/>
  <c r="K12" i="10" s="1"/>
  <c r="E25" i="10"/>
  <c r="E22" i="10"/>
  <c r="E30" i="10"/>
  <c r="K30" i="10" s="1"/>
  <c r="E29" i="10"/>
  <c r="K29" i="10" s="1"/>
  <c r="E9" i="10"/>
  <c r="K9" i="10" s="1"/>
  <c r="E10" i="10"/>
  <c r="K10" i="10" s="1"/>
  <c r="E10" i="3"/>
  <c r="E7" i="3"/>
  <c r="F10" i="3"/>
  <c r="F27" i="3"/>
  <c r="G42" i="10"/>
  <c r="G25" i="10"/>
  <c r="G14" i="10"/>
  <c r="G11" i="10"/>
  <c r="G9" i="10"/>
  <c r="G6" i="10"/>
  <c r="K6" i="10" s="1"/>
  <c r="I30" i="3"/>
  <c r="I22" i="3"/>
  <c r="I9" i="3"/>
  <c r="G23" i="3"/>
  <c r="G19" i="3"/>
  <c r="G9" i="3"/>
  <c r="I112" i="10"/>
  <c r="K112" i="10" s="1"/>
  <c r="I102" i="10"/>
  <c r="I42" i="10"/>
  <c r="K42" i="10" s="1"/>
  <c r="I40" i="10"/>
  <c r="I22" i="10"/>
  <c r="K22" i="10" s="1"/>
  <c r="I14" i="10"/>
  <c r="I12" i="10"/>
  <c r="I11" i="10"/>
  <c r="I10" i="10"/>
  <c r="I6" i="10"/>
  <c r="J31" i="3"/>
  <c r="J30" i="3"/>
  <c r="J27" i="3"/>
  <c r="J24" i="3"/>
  <c r="J23" i="3"/>
  <c r="J22" i="3"/>
  <c r="J19" i="3"/>
  <c r="J17" i="3"/>
  <c r="J15" i="3"/>
  <c r="J12" i="3"/>
  <c r="J9" i="3"/>
  <c r="J7" i="3"/>
  <c r="F143" i="12"/>
  <c r="F141" i="12"/>
  <c r="F138" i="12"/>
  <c r="H138" i="12" s="1"/>
  <c r="F135" i="12"/>
  <c r="F134" i="12"/>
  <c r="H134" i="12" s="1"/>
  <c r="F128" i="12"/>
  <c r="F126" i="12"/>
  <c r="H126" i="12" s="1"/>
  <c r="I126" i="12" s="1"/>
  <c r="F127" i="12"/>
  <c r="F125" i="12"/>
  <c r="F124" i="12"/>
  <c r="H124" i="12" s="1"/>
  <c r="F123" i="12"/>
  <c r="H123" i="12" s="1"/>
  <c r="I123" i="12" s="1"/>
  <c r="F117" i="12"/>
  <c r="H117" i="12" s="1"/>
  <c r="F115" i="12"/>
  <c r="H115" i="12" s="1"/>
  <c r="I115" i="12" s="1"/>
  <c r="F113" i="12"/>
  <c r="F111" i="12"/>
  <c r="F100" i="12"/>
  <c r="F99" i="12"/>
  <c r="F98" i="12"/>
  <c r="H98" i="12" s="1"/>
  <c r="I98" i="12" s="1"/>
  <c r="F97" i="12"/>
  <c r="H97" i="12" s="1"/>
  <c r="I97" i="12" s="1"/>
  <c r="F96" i="12"/>
  <c r="F94" i="12"/>
  <c r="H94" i="12" s="1"/>
  <c r="I94" i="12" s="1"/>
  <c r="F91" i="12"/>
  <c r="F90" i="12"/>
  <c r="F87" i="12"/>
  <c r="F86" i="12"/>
  <c r="F85" i="12"/>
  <c r="H85" i="12" s="1"/>
  <c r="F84" i="12"/>
  <c r="F82" i="12"/>
  <c r="H82" i="12" s="1"/>
  <c r="I82" i="12" s="1"/>
  <c r="F80" i="12"/>
  <c r="H80" i="12" s="1"/>
  <c r="I80" i="12" s="1"/>
  <c r="F74" i="12"/>
  <c r="F73" i="12"/>
  <c r="F72" i="12"/>
  <c r="F70" i="12"/>
  <c r="H70" i="12" s="1"/>
  <c r="I70" i="12" s="1"/>
  <c r="F67" i="12"/>
  <c r="H67" i="12" s="1"/>
  <c r="I67" i="12" s="1"/>
  <c r="F66" i="12"/>
  <c r="H66" i="12" s="1"/>
  <c r="I66" i="12" s="1"/>
  <c r="F64" i="12"/>
  <c r="F63" i="12"/>
  <c r="F48" i="12"/>
  <c r="F42" i="12"/>
  <c r="F41" i="12"/>
  <c r="F37" i="12"/>
  <c r="F30" i="12"/>
  <c r="H30" i="12" s="1"/>
  <c r="I30" i="12" s="1"/>
  <c r="F29" i="12"/>
  <c r="H29" i="12" s="1"/>
  <c r="I29" i="12" s="1"/>
  <c r="F28" i="12"/>
  <c r="H28" i="12" s="1"/>
  <c r="F27" i="12"/>
  <c r="F26" i="12"/>
  <c r="H26" i="12" s="1"/>
  <c r="I26" i="12" s="1"/>
  <c r="F25" i="12"/>
  <c r="F23" i="12"/>
  <c r="F20" i="12"/>
  <c r="F14" i="3"/>
  <c r="F30" i="3"/>
  <c r="F24" i="3"/>
  <c r="F25" i="3"/>
  <c r="F89" i="12"/>
  <c r="F92" i="12"/>
  <c r="H92" i="12" s="1"/>
  <c r="F59" i="12"/>
  <c r="H59" i="12" s="1"/>
  <c r="F62" i="12"/>
  <c r="H62" i="12" s="1"/>
  <c r="F120" i="12"/>
  <c r="H120" i="12" s="1"/>
  <c r="F119" i="12"/>
  <c r="H119" i="12" s="1"/>
  <c r="F95" i="12"/>
  <c r="H95" i="12" s="1"/>
  <c r="F83" i="12"/>
  <c r="F68" i="12"/>
  <c r="F60" i="12"/>
  <c r="F57" i="12"/>
  <c r="F56" i="12"/>
  <c r="H56" i="12" s="1"/>
  <c r="I56" i="12" s="1"/>
  <c r="F55" i="12"/>
  <c r="H55" i="12" s="1"/>
  <c r="I55" i="12" s="1"/>
  <c r="F54" i="12"/>
  <c r="H54" i="12" s="1"/>
  <c r="I54" i="12" s="1"/>
  <c r="F53" i="12"/>
  <c r="F46" i="12"/>
  <c r="F39" i="12"/>
  <c r="F33" i="12"/>
  <c r="F31" i="12"/>
  <c r="H31" i="12" s="1"/>
  <c r="F21" i="12"/>
  <c r="H21" i="12" s="1"/>
  <c r="I21" i="12" s="1"/>
  <c r="F12" i="12"/>
  <c r="H12" i="12" s="1"/>
  <c r="I12" i="12" s="1"/>
  <c r="F15" i="12"/>
  <c r="H15" i="12" s="1"/>
  <c r="F18" i="12"/>
  <c r="F17" i="12"/>
  <c r="F13" i="12"/>
  <c r="F14" i="12"/>
  <c r="F11" i="12"/>
  <c r="F10" i="12"/>
  <c r="H10" i="12" s="1"/>
  <c r="F7" i="12"/>
  <c r="H7" i="12" s="1"/>
  <c r="F4" i="12"/>
  <c r="H4" i="12" s="1"/>
  <c r="F6" i="12"/>
  <c r="F5" i="12"/>
  <c r="H5" i="12" s="1"/>
  <c r="G1" i="12"/>
  <c r="F1" i="12" s="1"/>
  <c r="I1" i="12" s="1"/>
  <c r="H143" i="12"/>
  <c r="B143" i="12"/>
  <c r="H142" i="12"/>
  <c r="H141" i="12"/>
  <c r="B141" i="12"/>
  <c r="H140" i="12"/>
  <c r="H139" i="12"/>
  <c r="B139" i="12"/>
  <c r="H137" i="12"/>
  <c r="B137" i="12"/>
  <c r="H136" i="12"/>
  <c r="H135" i="12"/>
  <c r="B135" i="12"/>
  <c r="H133" i="12"/>
  <c r="B133" i="12"/>
  <c r="H132" i="12"/>
  <c r="E132" i="12"/>
  <c r="H131" i="12"/>
  <c r="E131" i="12"/>
  <c r="B131" i="12"/>
  <c r="H130" i="12"/>
  <c r="E130" i="12"/>
  <c r="H129" i="12"/>
  <c r="E129" i="12"/>
  <c r="B129" i="12"/>
  <c r="H128" i="12"/>
  <c r="E128" i="12"/>
  <c r="H127" i="12"/>
  <c r="E127" i="12"/>
  <c r="B127" i="12"/>
  <c r="E126" i="12"/>
  <c r="H125" i="12"/>
  <c r="E125" i="12"/>
  <c r="B125" i="12"/>
  <c r="E124" i="12"/>
  <c r="E123" i="12"/>
  <c r="B123" i="12"/>
  <c r="H122" i="12"/>
  <c r="E122" i="12"/>
  <c r="H121" i="12"/>
  <c r="E121" i="12"/>
  <c r="B121" i="12"/>
  <c r="E120" i="12"/>
  <c r="E119" i="12"/>
  <c r="B119" i="12"/>
  <c r="H118" i="12"/>
  <c r="E118" i="12"/>
  <c r="E117" i="12"/>
  <c r="B117" i="12"/>
  <c r="H116" i="12"/>
  <c r="E116" i="12"/>
  <c r="E115" i="12"/>
  <c r="B115" i="12"/>
  <c r="H114" i="12"/>
  <c r="E114" i="12"/>
  <c r="H113" i="12"/>
  <c r="E113" i="12"/>
  <c r="B113" i="12"/>
  <c r="H112" i="12"/>
  <c r="E112" i="12"/>
  <c r="H111" i="12"/>
  <c r="E111" i="12"/>
  <c r="B111" i="12"/>
  <c r="H110" i="12"/>
  <c r="E110" i="12"/>
  <c r="H109" i="12"/>
  <c r="E109" i="12"/>
  <c r="B109" i="12"/>
  <c r="H108" i="12"/>
  <c r="I108" i="12" s="1"/>
  <c r="E108" i="12"/>
  <c r="H107" i="12"/>
  <c r="E107" i="12"/>
  <c r="B107" i="12"/>
  <c r="H106" i="12"/>
  <c r="E106" i="12"/>
  <c r="H105" i="12"/>
  <c r="E105" i="12"/>
  <c r="B105" i="12"/>
  <c r="H104" i="12"/>
  <c r="E104" i="12"/>
  <c r="H103" i="12"/>
  <c r="E103" i="12"/>
  <c r="B103" i="12"/>
  <c r="H102" i="12"/>
  <c r="E102" i="12"/>
  <c r="H101" i="12"/>
  <c r="E101" i="12"/>
  <c r="B101" i="12"/>
  <c r="H100" i="12"/>
  <c r="E100" i="12"/>
  <c r="H99" i="12"/>
  <c r="E99" i="12"/>
  <c r="B99" i="12"/>
  <c r="E98" i="12"/>
  <c r="E97" i="12"/>
  <c r="B97" i="12"/>
  <c r="E96" i="12"/>
  <c r="I96" i="12" s="1"/>
  <c r="E95" i="12"/>
  <c r="B95" i="12"/>
  <c r="E94" i="12"/>
  <c r="E92" i="12"/>
  <c r="H91" i="12"/>
  <c r="E91" i="12"/>
  <c r="B91" i="12"/>
  <c r="H90" i="12"/>
  <c r="I90" i="12" s="1"/>
  <c r="E90" i="12"/>
  <c r="H89" i="12"/>
  <c r="E89" i="12"/>
  <c r="B89" i="12"/>
  <c r="F88" i="12"/>
  <c r="H88" i="12" s="1"/>
  <c r="E88" i="12"/>
  <c r="H87" i="12"/>
  <c r="E87" i="12"/>
  <c r="H86" i="12"/>
  <c r="E86" i="12"/>
  <c r="B86" i="12"/>
  <c r="E85" i="12"/>
  <c r="H84" i="12"/>
  <c r="E84" i="12"/>
  <c r="B84" i="12"/>
  <c r="H83" i="12"/>
  <c r="E83" i="12"/>
  <c r="E82" i="12"/>
  <c r="B82" i="12"/>
  <c r="H81" i="12"/>
  <c r="E81" i="12"/>
  <c r="E80" i="12"/>
  <c r="B80" i="12"/>
  <c r="H79" i="12"/>
  <c r="I79" i="12" s="1"/>
  <c r="E79" i="12"/>
  <c r="H78" i="12"/>
  <c r="E78" i="12"/>
  <c r="B78" i="12"/>
  <c r="H77" i="12"/>
  <c r="E77" i="12"/>
  <c r="H76" i="12"/>
  <c r="E76" i="12"/>
  <c r="B76" i="12"/>
  <c r="H75" i="12"/>
  <c r="E75" i="12"/>
  <c r="H74" i="12"/>
  <c r="E74" i="12"/>
  <c r="B74" i="12"/>
  <c r="H73" i="12"/>
  <c r="E73" i="12"/>
  <c r="H72" i="12"/>
  <c r="E72" i="12"/>
  <c r="B72" i="12"/>
  <c r="H71" i="12"/>
  <c r="E71" i="12"/>
  <c r="E70" i="12"/>
  <c r="B70" i="12"/>
  <c r="H69" i="12"/>
  <c r="E69" i="12"/>
  <c r="H68" i="12"/>
  <c r="E68" i="12"/>
  <c r="B68" i="12"/>
  <c r="E67" i="12"/>
  <c r="E66" i="12"/>
  <c r="B66" i="12"/>
  <c r="F65" i="12"/>
  <c r="H65" i="12" s="1"/>
  <c r="E65" i="12"/>
  <c r="H64" i="12"/>
  <c r="E64" i="12"/>
  <c r="B64" i="12"/>
  <c r="H63" i="12"/>
  <c r="E63" i="12"/>
  <c r="E62" i="12"/>
  <c r="B62" i="12"/>
  <c r="H61" i="12"/>
  <c r="E61" i="12"/>
  <c r="H60" i="12"/>
  <c r="E60" i="12"/>
  <c r="B60" i="12"/>
  <c r="E59" i="12"/>
  <c r="F58" i="12"/>
  <c r="H58" i="12" s="1"/>
  <c r="E58" i="12"/>
  <c r="B58" i="12"/>
  <c r="H57" i="12"/>
  <c r="I57" i="12" s="1"/>
  <c r="E57" i="12"/>
  <c r="E56" i="12"/>
  <c r="B56" i="12"/>
  <c r="E55" i="12"/>
  <c r="B54" i="12"/>
  <c r="H53" i="12"/>
  <c r="E53" i="12"/>
  <c r="H50" i="12"/>
  <c r="I50" i="12" s="1"/>
  <c r="E50" i="12"/>
  <c r="H49" i="12"/>
  <c r="E49" i="12"/>
  <c r="H48" i="12"/>
  <c r="E48" i="12"/>
  <c r="F47" i="12"/>
  <c r="H47" i="12" s="1"/>
  <c r="E47" i="12"/>
  <c r="H46" i="12"/>
  <c r="E46" i="12"/>
  <c r="H45" i="12"/>
  <c r="E45" i="12"/>
  <c r="H44" i="12"/>
  <c r="E44" i="12"/>
  <c r="H43" i="12"/>
  <c r="E43" i="12"/>
  <c r="H42" i="12"/>
  <c r="I42" i="12" s="1"/>
  <c r="E42" i="12"/>
  <c r="H41" i="12"/>
  <c r="E41" i="12"/>
  <c r="H40" i="12"/>
  <c r="E40" i="12"/>
  <c r="H39" i="12"/>
  <c r="E39" i="12"/>
  <c r="H38" i="12"/>
  <c r="I38" i="12" s="1"/>
  <c r="E38" i="12"/>
  <c r="H37" i="12"/>
  <c r="E37" i="12"/>
  <c r="H36" i="12"/>
  <c r="E36" i="12"/>
  <c r="F35" i="12"/>
  <c r="H35" i="12" s="1"/>
  <c r="E35" i="12"/>
  <c r="H34" i="12"/>
  <c r="E34" i="12"/>
  <c r="H33" i="12"/>
  <c r="E33" i="12"/>
  <c r="H32" i="12"/>
  <c r="E32" i="12"/>
  <c r="E31" i="12"/>
  <c r="E30" i="12"/>
  <c r="E29" i="12"/>
  <c r="E28" i="12"/>
  <c r="H27" i="12"/>
  <c r="E27" i="12"/>
  <c r="E26" i="12"/>
  <c r="H25" i="12"/>
  <c r="I25" i="12" s="1"/>
  <c r="E25" i="12"/>
  <c r="F24" i="12"/>
  <c r="H24" i="12" s="1"/>
  <c r="E24" i="12"/>
  <c r="H23" i="12"/>
  <c r="E23" i="12"/>
  <c r="H22" i="12"/>
  <c r="E22" i="12"/>
  <c r="E21" i="12"/>
  <c r="H20" i="12"/>
  <c r="E20" i="12"/>
  <c r="H19" i="12"/>
  <c r="E19" i="12"/>
  <c r="I19" i="12" s="1"/>
  <c r="H18" i="12"/>
  <c r="E18" i="12"/>
  <c r="H17" i="12"/>
  <c r="E17" i="12"/>
  <c r="H16" i="12"/>
  <c r="E16" i="12"/>
  <c r="E15" i="12"/>
  <c r="H14" i="12"/>
  <c r="I14" i="12" s="1"/>
  <c r="E14" i="12"/>
  <c r="H13" i="12"/>
  <c r="E13" i="12"/>
  <c r="E12" i="12"/>
  <c r="H11" i="12"/>
  <c r="E11" i="12"/>
  <c r="E10" i="12"/>
  <c r="H9" i="12"/>
  <c r="E9" i="12"/>
  <c r="F8" i="12"/>
  <c r="H8" i="12" s="1"/>
  <c r="E8" i="12"/>
  <c r="E7" i="12"/>
  <c r="H6" i="12"/>
  <c r="E6" i="12"/>
  <c r="E5" i="12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E4" i="12"/>
  <c r="A6" i="12"/>
  <c r="A7" i="12" s="1"/>
  <c r="A8" i="12" s="1"/>
  <c r="A9" i="12" s="1"/>
  <c r="A10" i="12" s="1"/>
  <c r="A11" i="12" s="1"/>
  <c r="A12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8" i="12" s="1"/>
  <c r="A29" i="12" s="1"/>
  <c r="A30" i="12" s="1"/>
  <c r="A31" i="12" s="1"/>
  <c r="I95" i="12" l="1"/>
  <c r="I36" i="12"/>
  <c r="I74" i="12"/>
  <c r="I118" i="12"/>
  <c r="I81" i="12"/>
  <c r="I13" i="12"/>
  <c r="I89" i="12"/>
  <c r="I104" i="12"/>
  <c r="I9" i="12"/>
  <c r="I22" i="12"/>
  <c r="I35" i="12"/>
  <c r="I53" i="12"/>
  <c r="I83" i="12"/>
  <c r="I86" i="12"/>
  <c r="I101" i="12"/>
  <c r="I114" i="12"/>
  <c r="I102" i="12"/>
  <c r="I131" i="12"/>
  <c r="I128" i="12"/>
  <c r="I20" i="12"/>
  <c r="I24" i="12"/>
  <c r="I37" i="12"/>
  <c r="I41" i="12"/>
  <c r="I49" i="12"/>
  <c r="I78" i="12"/>
  <c r="I109" i="12"/>
  <c r="I103" i="12"/>
  <c r="I32" i="12"/>
  <c r="I48" i="12"/>
  <c r="I105" i="12"/>
  <c r="I65" i="12"/>
  <c r="I112" i="12"/>
  <c r="I107" i="12"/>
  <c r="I106" i="12"/>
  <c r="I18" i="12"/>
  <c r="I58" i="12"/>
  <c r="I68" i="12"/>
  <c r="I87" i="12"/>
  <c r="I91" i="12"/>
  <c r="I99" i="12"/>
  <c r="I120" i="12"/>
  <c r="I4" i="12"/>
  <c r="I8" i="12"/>
  <c r="I10" i="12"/>
  <c r="I16" i="12"/>
  <c r="I43" i="12"/>
  <c r="I45" i="12"/>
  <c r="I47" i="12"/>
  <c r="I130" i="12"/>
  <c r="I6" i="12"/>
  <c r="I31" i="12"/>
  <c r="I39" i="12"/>
  <c r="I59" i="12"/>
  <c r="I62" i="12"/>
  <c r="I69" i="12"/>
  <c r="I72" i="12"/>
  <c r="I77" i="12"/>
  <c r="I85" i="12"/>
  <c r="I88" i="12"/>
  <c r="I100" i="12"/>
  <c r="I113" i="12"/>
  <c r="I116" i="12"/>
  <c r="I124" i="12"/>
  <c r="I15" i="12"/>
  <c r="I28" i="12"/>
  <c r="I34" i="12"/>
  <c r="I44" i="12"/>
  <c r="I46" i="12"/>
  <c r="I61" i="12"/>
  <c r="I64" i="12"/>
  <c r="I92" i="12"/>
  <c r="I121" i="12"/>
  <c r="I11" i="12"/>
  <c r="I63" i="12"/>
  <c r="I122" i="12"/>
  <c r="I5" i="12"/>
  <c r="I7" i="12"/>
  <c r="I17" i="12"/>
  <c r="I27" i="12"/>
  <c r="I33" i="12"/>
  <c r="I40" i="12"/>
  <c r="I60" i="12"/>
  <c r="I73" i="12"/>
  <c r="I76" i="12"/>
  <c r="I84" i="12"/>
  <c r="I110" i="12"/>
  <c r="I119" i="12"/>
  <c r="I127" i="12"/>
  <c r="I71" i="12"/>
  <c r="I111" i="12"/>
  <c r="I117" i="12"/>
  <c r="I125" i="12"/>
  <c r="I23" i="12"/>
  <c r="I75" i="12"/>
  <c r="I129" i="12"/>
  <c r="E114" i="10" l="1"/>
  <c r="K114" i="10" s="1"/>
  <c r="E107" i="10"/>
  <c r="K107" i="10" s="1"/>
  <c r="I103" i="10"/>
  <c r="K103" i="10" s="1"/>
  <c r="H102" i="10"/>
  <c r="K102" i="10" s="1"/>
  <c r="G59" i="10"/>
  <c r="K59" i="10" s="1"/>
  <c r="E35" i="10"/>
  <c r="K35" i="10" s="1"/>
  <c r="I25" i="10"/>
  <c r="K25" i="10" s="1"/>
  <c r="E14" i="10"/>
  <c r="K14" i="10" s="1"/>
  <c r="G2" i="10"/>
  <c r="F2" i="10" s="1"/>
  <c r="I2" i="10" s="1"/>
  <c r="F2" i="6"/>
  <c r="E2" i="6" s="1"/>
  <c r="H2" i="6" s="1"/>
  <c r="B35" i="6"/>
  <c r="E32" i="6"/>
  <c r="F32" i="6"/>
  <c r="G32" i="6"/>
  <c r="H32" i="6"/>
  <c r="B32" i="6"/>
  <c r="C15" i="11" l="1"/>
  <c r="G21" i="6"/>
  <c r="G27" i="6"/>
  <c r="H27" i="6"/>
  <c r="I27" i="6"/>
  <c r="K27" i="6"/>
  <c r="L27" i="6"/>
  <c r="M27" i="6"/>
  <c r="G25" i="6"/>
  <c r="H25" i="6"/>
  <c r="I25" i="6"/>
  <c r="K25" i="6"/>
  <c r="L25" i="6"/>
  <c r="M25" i="6"/>
  <c r="G24" i="6"/>
  <c r="H24" i="6"/>
  <c r="I24" i="6"/>
  <c r="K24" i="6"/>
  <c r="L24" i="6"/>
  <c r="M24" i="6"/>
  <c r="G23" i="6"/>
  <c r="H23" i="6"/>
  <c r="I23" i="6"/>
  <c r="K23" i="6"/>
  <c r="L23" i="6"/>
  <c r="M23" i="6"/>
  <c r="H21" i="6"/>
  <c r="I21" i="6"/>
  <c r="K21" i="6"/>
  <c r="L21" i="6"/>
  <c r="M21" i="6"/>
  <c r="G19" i="6"/>
  <c r="H19" i="6"/>
  <c r="I19" i="6"/>
  <c r="K19" i="6"/>
  <c r="L19" i="6"/>
  <c r="M19" i="6"/>
  <c r="G18" i="6"/>
  <c r="H18" i="6"/>
  <c r="I18" i="6"/>
  <c r="K18" i="6"/>
  <c r="L18" i="6"/>
  <c r="M18" i="6"/>
  <c r="G17" i="6"/>
  <c r="H17" i="6"/>
  <c r="I17" i="6"/>
  <c r="K17" i="6"/>
  <c r="L17" i="6"/>
  <c r="M17" i="6"/>
  <c r="H16" i="6"/>
  <c r="I16" i="6"/>
  <c r="K16" i="6"/>
  <c r="L16" i="6"/>
  <c r="M16" i="6"/>
  <c r="E13" i="6"/>
  <c r="F13" i="6"/>
  <c r="G13" i="6"/>
  <c r="H13" i="6"/>
  <c r="I13" i="6"/>
  <c r="L13" i="6"/>
  <c r="M13" i="6"/>
  <c r="H6" i="6"/>
  <c r="I6" i="6"/>
  <c r="K6" i="6"/>
  <c r="L6" i="6"/>
  <c r="M6" i="6"/>
  <c r="I5" i="6"/>
  <c r="K5" i="6"/>
  <c r="L5" i="6"/>
  <c r="M5" i="6"/>
  <c r="I4" i="6"/>
  <c r="K4" i="6"/>
  <c r="L4" i="6"/>
  <c r="M4" i="6"/>
  <c r="J12" i="7" l="1"/>
  <c r="A13" i="7"/>
  <c r="E10" i="7" l="1"/>
  <c r="F10" i="7"/>
  <c r="G10" i="7"/>
  <c r="H10" i="7"/>
  <c r="I10" i="7"/>
  <c r="D10" i="7"/>
  <c r="C13" i="11" l="1"/>
  <c r="C12" i="11"/>
  <c r="C14" i="11"/>
  <c r="K40" i="6"/>
  <c r="L12" i="3"/>
  <c r="C40" i="6"/>
  <c r="D40" i="6"/>
  <c r="E40" i="6"/>
  <c r="F40" i="6"/>
  <c r="G40" i="6"/>
  <c r="H40" i="6"/>
  <c r="I40" i="6"/>
  <c r="J40" i="6"/>
  <c r="B40" i="6"/>
  <c r="K38" i="6"/>
  <c r="E38" i="6"/>
  <c r="F38" i="6"/>
  <c r="G38" i="6"/>
  <c r="H38" i="6"/>
  <c r="I38" i="6"/>
  <c r="K35" i="6"/>
  <c r="E35" i="6"/>
  <c r="F35" i="6"/>
  <c r="G35" i="6"/>
  <c r="H35" i="6"/>
  <c r="I35" i="6"/>
  <c r="K34" i="6"/>
  <c r="E34" i="6"/>
  <c r="F34" i="6"/>
  <c r="G34" i="6"/>
  <c r="H34" i="6"/>
  <c r="I34" i="6"/>
  <c r="K32" i="6"/>
  <c r="I32" i="6"/>
  <c r="D10" i="6"/>
  <c r="J13" i="7"/>
  <c r="J11" i="7"/>
  <c r="L10" i="7"/>
  <c r="A10" i="7"/>
  <c r="L9" i="7"/>
  <c r="K9" i="7"/>
  <c r="I9" i="7"/>
  <c r="H9" i="7"/>
  <c r="G9" i="7"/>
  <c r="F9" i="7"/>
  <c r="E9" i="7"/>
  <c r="D9" i="7"/>
  <c r="J8" i="7"/>
  <c r="J7" i="7"/>
  <c r="J6" i="7"/>
  <c r="J5" i="7"/>
  <c r="J4" i="7"/>
  <c r="F2" i="7"/>
  <c r="E2" i="7" s="1"/>
  <c r="H2" i="7" s="1"/>
  <c r="R11" i="11"/>
  <c r="A5" i="11"/>
  <c r="A6" i="11" s="1"/>
  <c r="A7" i="11" s="1"/>
  <c r="A9" i="11" s="1"/>
  <c r="A10" i="11" s="1"/>
  <c r="I4" i="11"/>
  <c r="U1" i="11"/>
  <c r="T1" i="11" s="1"/>
  <c r="W1" i="11" s="1"/>
  <c r="I39" i="6"/>
  <c r="H39" i="6"/>
  <c r="G39" i="6"/>
  <c r="F39" i="6"/>
  <c r="E39" i="6"/>
  <c r="D39" i="6"/>
  <c r="D38" i="6"/>
  <c r="I37" i="6"/>
  <c r="H37" i="6"/>
  <c r="G37" i="6"/>
  <c r="F37" i="6"/>
  <c r="E37" i="6"/>
  <c r="D37" i="6"/>
  <c r="I36" i="6"/>
  <c r="H36" i="6"/>
  <c r="G36" i="6"/>
  <c r="F36" i="6"/>
  <c r="E36" i="6"/>
  <c r="D36" i="6"/>
  <c r="D35" i="6"/>
  <c r="D34" i="6"/>
  <c r="I33" i="6"/>
  <c r="H33" i="6"/>
  <c r="G33" i="6"/>
  <c r="F33" i="6"/>
  <c r="E33" i="6"/>
  <c r="D33" i="6"/>
  <c r="D32" i="6"/>
  <c r="F27" i="6"/>
  <c r="E27" i="6"/>
  <c r="D27" i="6"/>
  <c r="F25" i="6"/>
  <c r="E25" i="6"/>
  <c r="D25" i="6"/>
  <c r="F24" i="6"/>
  <c r="E24" i="6"/>
  <c r="D24" i="6"/>
  <c r="F23" i="6"/>
  <c r="E23" i="6"/>
  <c r="D23" i="6"/>
  <c r="A23" i="6"/>
  <c r="A24" i="6" s="1"/>
  <c r="A25" i="6" s="1"/>
  <c r="A26" i="6" s="1"/>
  <c r="A27" i="6" s="1"/>
  <c r="I22" i="6"/>
  <c r="H22" i="6"/>
  <c r="G22" i="6"/>
  <c r="F22" i="6"/>
  <c r="E22" i="6"/>
  <c r="D22" i="6"/>
  <c r="A22" i="6"/>
  <c r="F21" i="6"/>
  <c r="E21" i="6"/>
  <c r="D21" i="6"/>
  <c r="J20" i="6"/>
  <c r="F19" i="6"/>
  <c r="E19" i="6"/>
  <c r="D19" i="6"/>
  <c r="E18" i="6"/>
  <c r="D18" i="6"/>
  <c r="A18" i="6"/>
  <c r="A19" i="6" s="1"/>
  <c r="F17" i="6"/>
  <c r="E17" i="6"/>
  <c r="D17" i="6"/>
  <c r="A17" i="6"/>
  <c r="G16" i="6"/>
  <c r="F16" i="6"/>
  <c r="E16" i="6"/>
  <c r="D16" i="6"/>
  <c r="J15" i="6"/>
  <c r="J14" i="6"/>
  <c r="D13" i="6"/>
  <c r="J12" i="6"/>
  <c r="J11" i="6"/>
  <c r="I10" i="6"/>
  <c r="H10" i="6"/>
  <c r="G10" i="6"/>
  <c r="F10" i="6"/>
  <c r="E10" i="6"/>
  <c r="I9" i="6"/>
  <c r="H9" i="6"/>
  <c r="G9" i="6"/>
  <c r="F9" i="6"/>
  <c r="E9" i="6"/>
  <c r="D9" i="6"/>
  <c r="J8" i="6"/>
  <c r="D7" i="6"/>
  <c r="J7" i="6" s="1"/>
  <c r="G6" i="6"/>
  <c r="F6" i="6"/>
  <c r="E6" i="6"/>
  <c r="D6" i="6"/>
  <c r="A6" i="6"/>
  <c r="A7" i="6" s="1"/>
  <c r="A8" i="6" s="1"/>
  <c r="A9" i="6" s="1"/>
  <c r="A10" i="6" s="1"/>
  <c r="H5" i="6"/>
  <c r="G5" i="6"/>
  <c r="F5" i="6"/>
  <c r="E5" i="6"/>
  <c r="D5" i="6"/>
  <c r="A5" i="6"/>
  <c r="H4" i="6"/>
  <c r="G4" i="6"/>
  <c r="F4" i="6"/>
  <c r="E4" i="6"/>
  <c r="D4" i="6"/>
  <c r="J27" i="6"/>
  <c r="J25" i="6"/>
  <c r="J24" i="6"/>
  <c r="J23" i="6"/>
  <c r="J21" i="6"/>
  <c r="A102" i="10"/>
  <c r="A103" i="10" s="1"/>
  <c r="A104" i="10" s="1"/>
  <c r="A105" i="10" s="1"/>
  <c r="A106" i="10" s="1"/>
  <c r="A75" i="10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49" i="10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J19" i="6"/>
  <c r="J18" i="6"/>
  <c r="J9" i="7"/>
  <c r="J10" i="7"/>
  <c r="J17" i="6"/>
  <c r="A36" i="10"/>
  <c r="A37" i="10" s="1"/>
  <c r="A38" i="10" s="1"/>
  <c r="A39" i="10" s="1"/>
  <c r="A40" i="10" s="1"/>
  <c r="A41" i="10" s="1"/>
  <c r="A42" i="10" s="1"/>
  <c r="A43" i="10" s="1"/>
  <c r="A44" i="10" s="1"/>
  <c r="J13" i="6"/>
  <c r="D15" i="11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L31" i="3"/>
  <c r="M31" i="3" s="1"/>
  <c r="L30" i="3"/>
  <c r="M30" i="3" s="1"/>
  <c r="L29" i="3"/>
  <c r="M29" i="3" s="1"/>
  <c r="L28" i="3"/>
  <c r="M28" i="3" s="1"/>
  <c r="L27" i="3"/>
  <c r="M27" i="3" s="1"/>
  <c r="M26" i="3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M12" i="3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A6" i="3"/>
  <c r="A7" i="3" s="1"/>
  <c r="A8" i="3" s="1"/>
  <c r="A9" i="3" s="1"/>
  <c r="A10" i="3" s="1"/>
  <c r="A11" i="3" s="1"/>
  <c r="A12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8" i="3" s="1"/>
  <c r="A29" i="3" s="1"/>
  <c r="A30" i="3" s="1"/>
  <c r="A31" i="3" s="1"/>
  <c r="L5" i="3"/>
  <c r="M5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L4" i="3"/>
  <c r="M4" i="3" s="1"/>
  <c r="D2" i="3"/>
  <c r="A107" i="10" l="1"/>
  <c r="A108" i="10" s="1"/>
  <c r="A109" i="10" s="1"/>
  <c r="A110" i="10" s="1"/>
  <c r="A111" i="10" s="1"/>
  <c r="A112" i="10" s="1"/>
  <c r="A113" i="10" s="1"/>
  <c r="A114" i="10" s="1"/>
  <c r="A115" i="10" s="1"/>
  <c r="A116" i="10" s="1"/>
  <c r="C2" i="3"/>
  <c r="G2" i="3" s="1"/>
  <c r="J33" i="6"/>
  <c r="D13" i="11"/>
  <c r="J5" i="6"/>
  <c r="D12" i="11"/>
  <c r="J4" i="6"/>
  <c r="D14" i="11"/>
  <c r="J6" i="6"/>
  <c r="D11" i="11"/>
  <c r="J16" i="6"/>
  <c r="J39" i="6"/>
  <c r="J37" i="6"/>
  <c r="J9" i="6"/>
  <c r="D6" i="11"/>
  <c r="D7" i="11"/>
  <c r="J10" i="6"/>
  <c r="D4" i="11" s="1"/>
  <c r="J22" i="6"/>
  <c r="J36" i="6"/>
  <c r="D8" i="11"/>
  <c r="D5" i="11"/>
  <c r="J35" i="6"/>
  <c r="J32" i="6"/>
  <c r="F18" i="6"/>
  <c r="D9" i="11" s="1"/>
  <c r="D10" i="11"/>
  <c r="J38" i="6"/>
  <c r="J3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" authorId="0" shapeId="0" xr:uid="{730CEDC9-4153-43F6-AFC6-70573EF17BF6}">
      <text>
        <r>
          <rPr>
            <b/>
            <sz val="9"/>
            <color indexed="81"/>
            <rFont val="Tahoma"/>
            <family val="2"/>
          </rPr>
          <t>ED=08/10/2028: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" authorId="0" shapeId="0" xr:uid="{8E6B2106-592C-4468-9C20-D263C2F9930F}">
      <text>
        <r>
          <rPr>
            <b/>
            <sz val="9"/>
            <color indexed="81"/>
            <rFont val="Tahoma"/>
            <family val="2"/>
          </rPr>
          <t>FEB 2026: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" authorId="0" shapeId="0" xr:uid="{D3159457-D594-4088-9C8A-5D42FE9BDD55}">
      <text>
        <r>
          <rPr>
            <b/>
            <sz val="9"/>
            <color indexed="81"/>
            <rFont val="Tahoma"/>
            <family val="2"/>
          </rPr>
          <t>FEB 2026: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6AE874DD-D766-440F-A90B-2630847C0C35}">
      <text>
        <r>
          <rPr>
            <b/>
            <sz val="9"/>
            <color indexed="81"/>
            <rFont val="Tahoma"/>
            <family val="2"/>
          </rPr>
          <t>DEC 2029: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" authorId="0" shapeId="0" xr:uid="{96157B31-0A2F-42F3-A25E-D9543D844616}">
      <text>
        <r>
          <rPr>
            <b/>
            <sz val="9"/>
            <color indexed="81"/>
            <rFont val="Tahoma"/>
            <family val="2"/>
          </rPr>
          <t>AUG 2029: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0" shapeId="0" xr:uid="{49A83608-A574-4D09-B9C8-F06C608B5003}">
      <text>
        <r>
          <rPr>
            <b/>
            <sz val="9"/>
            <color indexed="81"/>
            <rFont val="Tahoma"/>
            <family val="2"/>
          </rPr>
          <t>EXPIRED=35.65KG
GOOD=11KG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8314CB54-9363-4612-8663-8B8F6D650796}">
      <text>
        <r>
          <rPr>
            <b/>
            <sz val="9"/>
            <color indexed="81"/>
            <rFont val="Tahoma"/>
            <family val="2"/>
          </rPr>
          <t>DEC 2028: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 shapeId="0" xr:uid="{AE42574A-78F7-4F0C-8A3F-36A3A9C54B8F}">
      <text>
        <r>
          <rPr>
            <b/>
            <sz val="9"/>
            <color indexed="81"/>
            <rFont val="Tahoma"/>
            <family val="2"/>
          </rPr>
          <t>FEB 2027: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968BA37E-49F3-4670-A125-2BD2A7FAE83D}">
      <text>
        <r>
          <rPr>
            <b/>
            <sz val="9"/>
            <color indexed="81"/>
            <rFont val="Tahoma"/>
            <family val="2"/>
          </rPr>
          <t>DEC 2026: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FBF4AD64-683F-4D5D-AAC2-0E30AD09A501}">
      <text>
        <r>
          <rPr>
            <b/>
            <sz val="9"/>
            <color indexed="81"/>
            <rFont val="Tahoma"/>
            <family val="2"/>
          </rPr>
          <t>MAY 2028: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0" shapeId="0" xr:uid="{2856EF05-16F0-4C8E-875C-C3172ACB171E}">
      <text>
        <r>
          <rPr>
            <b/>
            <sz val="9"/>
            <color indexed="81"/>
            <rFont val="Tahoma"/>
            <family val="2"/>
          </rPr>
          <t>FEB 2029: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0FF56290-F682-46C8-A8D5-734D57734CA0}">
      <text>
        <r>
          <rPr>
            <b/>
            <sz val="9"/>
            <color indexed="81"/>
            <rFont val="Tahoma"/>
            <family val="2"/>
          </rPr>
          <t>JAN 2030: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36B8BC35-DA7F-4559-82C0-5E52D18109A2}">
      <text>
        <r>
          <rPr>
            <b/>
            <sz val="9"/>
            <color indexed="81"/>
            <rFont val="Tahoma"/>
            <family val="2"/>
          </rPr>
          <t>APR 2028: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F1E6CEC4-E7D8-47E8-AB2B-41CB97D5EC61}">
      <text>
        <r>
          <rPr>
            <b/>
            <sz val="9"/>
            <rFont val="Tahoma"/>
            <family val="2"/>
          </rPr>
          <t>DEC 2024:</t>
        </r>
        <r>
          <rPr>
            <sz val="9"/>
            <rFont val="Tahoma"/>
            <family val="2"/>
          </rPr>
          <t xml:space="preserve">
</t>
        </r>
      </text>
    </comment>
    <comment ref="F21" authorId="0" shapeId="0" xr:uid="{9695E43C-059D-4D02-ACAC-562E0FF3F5E6}">
      <text>
        <r>
          <rPr>
            <b/>
            <sz val="9"/>
            <color indexed="81"/>
            <rFont val="Tahoma"/>
            <family val="2"/>
          </rPr>
          <t>MAY 2026: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A6046B4-FE17-4B56-A85E-4794054C7969}">
      <text>
        <r>
          <rPr>
            <b/>
            <sz val="9"/>
            <rFont val="Tahoma"/>
            <family val="2"/>
          </rPr>
          <t>MAY 2023</t>
        </r>
        <r>
          <rPr>
            <sz val="9"/>
            <rFont val="Tahoma"/>
            <family val="2"/>
          </rPr>
          <t xml:space="preserve">
</t>
        </r>
      </text>
    </comment>
    <comment ref="F24" authorId="0" shapeId="0" xr:uid="{1284D056-399E-4E58-815B-6B88F681132A}">
      <text>
        <r>
          <rPr>
            <b/>
            <sz val="9"/>
            <rFont val="Tahoma"/>
            <family val="2"/>
          </rPr>
          <t>MAY 2027:</t>
        </r>
        <r>
          <rPr>
            <sz val="9"/>
            <rFont val="Tahoma"/>
            <family val="2"/>
          </rPr>
          <t xml:space="preserve">
</t>
        </r>
      </text>
    </comment>
    <comment ref="F26" authorId="0" shapeId="0" xr:uid="{15EAE5CE-2577-4632-89E9-D331DBA44FCF}">
      <text>
        <r>
          <rPr>
            <b/>
            <sz val="9"/>
            <rFont val="Tahoma"/>
            <family val="2"/>
          </rPr>
          <t>60KG EXPIRED:</t>
        </r>
        <r>
          <rPr>
            <sz val="9"/>
            <rFont val="Tahoma"/>
            <family val="2"/>
          </rPr>
          <t xml:space="preserve">
</t>
        </r>
      </text>
    </comment>
    <comment ref="F28" authorId="0" shapeId="0" xr:uid="{87AD8530-B948-45B0-AE5A-7CE303E7E8B5}">
      <text>
        <r>
          <rPr>
            <b/>
            <sz val="9"/>
            <rFont val="Tahoma"/>
            <family val="2"/>
          </rPr>
          <t>NOV 2023</t>
        </r>
      </text>
    </comment>
    <comment ref="F29" authorId="0" shapeId="0" xr:uid="{38F07190-53E1-496B-B258-169B0837AA39}">
      <text>
        <r>
          <rPr>
            <b/>
            <sz val="9"/>
            <rFont val="Tahoma"/>
            <family val="2"/>
          </rPr>
          <t>JAN 2025:</t>
        </r>
        <r>
          <rPr>
            <sz val="9"/>
            <rFont val="Tahoma"/>
            <family val="2"/>
          </rPr>
          <t xml:space="preserve">
</t>
        </r>
      </text>
    </comment>
    <comment ref="F30" authorId="0" shapeId="0" xr:uid="{8864BD76-73FD-403D-A78E-047641772B4C}">
      <text>
        <r>
          <rPr>
            <b/>
            <sz val="9"/>
            <rFont val="Tahoma"/>
            <family val="2"/>
          </rPr>
          <t>150KG EXPIRED:</t>
        </r>
        <r>
          <rPr>
            <sz val="9"/>
            <rFont val="Tahoma"/>
            <family val="2"/>
          </rPr>
          <t xml:space="preserve">
</t>
        </r>
      </text>
    </comment>
    <comment ref="F31" authorId="0" shapeId="0" xr:uid="{EAE561C8-B5D4-4727-BBF5-57319641E6BD}">
      <text>
        <r>
          <rPr>
            <b/>
            <sz val="9"/>
            <color indexed="81"/>
            <rFont val="Tahoma"/>
            <family val="2"/>
          </rPr>
          <t>SEP 2025: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3" authorId="0" shapeId="0" xr:uid="{3655EFED-20BA-4D24-BE69-53AF3E517AB3}">
      <text>
        <r>
          <rPr>
            <b/>
            <sz val="9"/>
            <color indexed="81"/>
            <rFont val="Tahoma"/>
            <family val="2"/>
          </rPr>
          <t>MAY 2030: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B8DB5816-BA89-43C3-AFDD-824697AF62CE}">
      <text>
        <r>
          <rPr>
            <b/>
            <sz val="9"/>
            <color indexed="81"/>
            <rFont val="Tahoma"/>
            <family val="2"/>
          </rPr>
          <t>JAN 2025: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9" authorId="0" shapeId="0" xr:uid="{A4E0A883-14EA-4C99-AD43-DFA78ED9481A}">
      <text>
        <r>
          <rPr>
            <b/>
            <sz val="9"/>
            <color indexed="81"/>
            <rFont val="Tahoma"/>
            <family val="2"/>
          </rPr>
          <t>FE 2025: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35AB43D9-46B8-46D8-9210-0E080A5D54DA}">
      <text>
        <r>
          <rPr>
            <b/>
            <sz val="9"/>
            <rFont val="Tahoma"/>
            <family val="2"/>
          </rPr>
          <t>JUNE 2023</t>
        </r>
        <r>
          <rPr>
            <sz val="9"/>
            <rFont val="Tahoma"/>
            <family val="2"/>
          </rPr>
          <t xml:space="preserve">
</t>
        </r>
      </text>
    </comment>
    <comment ref="F44" authorId="0" shapeId="0" xr:uid="{18543EB5-879F-405D-ADD2-D0045C0D9AA3}">
      <text>
        <r>
          <rPr>
            <b/>
            <sz val="9"/>
            <rFont val="Tahoma"/>
            <family val="2"/>
          </rPr>
          <t>APR 2023.</t>
        </r>
      </text>
    </comment>
    <comment ref="F45" authorId="0" shapeId="0" xr:uid="{C9F34134-3557-4245-8709-93EB81C1C9D6}">
      <text>
        <r>
          <rPr>
            <b/>
            <sz val="9"/>
            <color indexed="81"/>
            <rFont val="Tahoma"/>
            <family val="2"/>
          </rPr>
          <t>SEP 2024: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3523BB28-1F50-406C-A963-33D9A8AC17C1}">
      <text>
        <r>
          <rPr>
            <b/>
            <sz val="9"/>
            <color indexed="81"/>
            <rFont val="Tahoma"/>
            <family val="2"/>
          </rPr>
          <t>MAR 2030: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833E51E8-8B61-47AD-8AFB-A7476B5FFC2E}">
      <text>
        <r>
          <rPr>
            <b/>
            <sz val="9"/>
            <rFont val="Tahoma"/>
            <family val="2"/>
          </rPr>
          <t>THE LABEL HAS BEEN REMOVED.</t>
        </r>
        <r>
          <rPr>
            <sz val="9"/>
            <rFont val="Tahoma"/>
            <family val="2"/>
          </rPr>
          <t xml:space="preserve">
</t>
        </r>
      </text>
    </comment>
    <comment ref="F53" authorId="0" shapeId="0" xr:uid="{373ABBE4-F152-46D0-887E-6F17EBC8F4B1}">
      <text>
        <r>
          <rPr>
            <b/>
            <sz val="9"/>
            <color indexed="81"/>
            <rFont val="Tahoma"/>
            <family val="2"/>
          </rPr>
          <t>14/04/2028: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6" authorId="0" shapeId="0" xr:uid="{D8D9D1E4-3655-400E-85C8-6353CEB85B5C}">
      <text>
        <r>
          <rPr>
            <b/>
            <sz val="9"/>
            <color indexed="81"/>
            <rFont val="Tahoma"/>
            <family val="2"/>
          </rPr>
          <t>JUL 2025: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7" authorId="0" shapeId="0" xr:uid="{58A14CAF-1586-402F-9369-CDF0604C3FC3}">
      <text>
        <r>
          <rPr>
            <b/>
            <sz val="9"/>
            <color indexed="81"/>
            <rFont val="Tahoma"/>
            <family val="2"/>
          </rPr>
          <t>JUL 2026: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9" authorId="0" shapeId="0" xr:uid="{E1844784-210C-476B-A60D-67DEE86527C5}">
      <text>
        <r>
          <rPr>
            <b/>
            <sz val="9"/>
            <color indexed="81"/>
            <rFont val="Tahoma"/>
            <family val="2"/>
          </rPr>
          <t>APR 2027: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60" authorId="0" shapeId="0" xr:uid="{3ADE6ACC-55DA-4B34-9112-2A0C6E8AF6C3}">
      <text>
        <r>
          <rPr>
            <b/>
            <sz val="9"/>
            <color indexed="81"/>
            <rFont val="Tahoma"/>
            <family val="2"/>
          </rPr>
          <t>MAR 2026: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0" authorId="0" shapeId="0" xr:uid="{68FD9D24-4732-4BF6-B27A-F15D7A5AABD7}">
      <text>
        <r>
          <rPr>
            <b/>
            <sz val="9"/>
            <color indexed="81"/>
            <rFont val="Tahoma"/>
            <family val="2"/>
          </rPr>
          <t>DEC 2025: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2" authorId="0" shapeId="0" xr:uid="{5504A7A4-6B7D-4D0B-B6AE-F420E70BF1F0}">
      <text>
        <r>
          <rPr>
            <b/>
            <sz val="9"/>
            <color indexed="81"/>
            <rFont val="Tahoma"/>
            <family val="2"/>
          </rPr>
          <t>21/10/2026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5" authorId="0" shapeId="0" xr:uid="{4C8F72C3-26F8-40FF-A7B0-997D73A2D267}">
      <text>
        <r>
          <rPr>
            <b/>
            <sz val="9"/>
            <color indexed="81"/>
            <rFont val="Tahoma"/>
            <family val="2"/>
          </rPr>
          <t>JAN 2026: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9B79C8F1-8ED2-488A-A439-955F932DFBED}">
      <text>
        <r>
          <rPr>
            <b/>
            <sz val="9"/>
            <rFont val="Tahoma"/>
            <family val="2"/>
          </rPr>
          <t>JAN, 2026:</t>
        </r>
        <r>
          <rPr>
            <sz val="9"/>
            <rFont val="Tahoma"/>
            <family val="2"/>
          </rPr>
          <t xml:space="preserve">
</t>
        </r>
      </text>
    </comment>
    <comment ref="E40" authorId="0" shapeId="0" xr:uid="{3DE3F69B-76FA-434F-8B38-FFDF8C27A292}">
      <text>
        <r>
          <rPr>
            <b/>
            <sz val="9"/>
            <color indexed="81"/>
            <rFont val="Tahoma"/>
            <family val="2"/>
          </rPr>
          <t>MAR 2027
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9" authorId="0" shapeId="0" xr:uid="{00000000-0006-0000-0200-000001000000}">
      <text>
        <r>
          <rPr>
            <b/>
            <sz val="9"/>
            <rFont val="Tahoma"/>
            <family val="2"/>
          </rPr>
          <t>16 pcs to expire feb 2025:</t>
        </r>
        <r>
          <rPr>
            <sz val="9"/>
            <rFont val="Tahoma"/>
            <family val="2"/>
          </rPr>
          <t xml:space="preserve">
</t>
        </r>
      </text>
    </comment>
    <comment ref="H25" authorId="0" shapeId="0" xr:uid="{00000000-0006-0000-0200-000002000000}">
      <text>
        <r>
          <rPr>
            <b/>
            <sz val="9"/>
            <rFont val="Tahoma"/>
            <family val="2"/>
          </rPr>
          <t>OCT0BER 2025:</t>
        </r>
        <r>
          <rPr>
            <sz val="9"/>
            <rFont val="Tahoma"/>
            <family val="2"/>
          </rPr>
          <t xml:space="preserve">
</t>
        </r>
      </text>
    </comment>
    <comment ref="I25" authorId="0" shapeId="0" xr:uid="{00000000-0006-0000-0200-000003000000}">
      <text>
        <r>
          <rPr>
            <b/>
            <sz val="9"/>
            <rFont val="Tahoma"/>
            <family val="2"/>
          </rPr>
          <t>OCT 2025:</t>
        </r>
        <r>
          <rPr>
            <sz val="9"/>
            <rFont val="Tahoma"/>
            <family val="2"/>
          </rPr>
          <t xml:space="preserve">
</t>
        </r>
      </text>
    </comment>
    <comment ref="H26" authorId="0" shapeId="0" xr:uid="{00000000-0006-0000-0200-000004000000}">
      <text>
        <r>
          <rPr>
            <b/>
            <sz val="9"/>
            <rFont val="Tahoma"/>
            <family val="2"/>
          </rPr>
          <t>OCT0BER 2025:</t>
        </r>
        <r>
          <rPr>
            <sz val="9"/>
            <rFont val="Tahoma"/>
            <family val="2"/>
          </rPr>
          <t xml:space="preserve">
</t>
        </r>
      </text>
    </comment>
    <comment ref="I26" authorId="0" shapeId="0" xr:uid="{00000000-0006-0000-0200-000005000000}">
      <text>
        <r>
          <rPr>
            <b/>
            <sz val="9"/>
            <rFont val="Tahoma"/>
            <family val="2"/>
          </rPr>
          <t>OCT 2025: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<sst xmlns="http://schemas.openxmlformats.org/spreadsheetml/2006/main" count="884" uniqueCount="408">
  <si>
    <t>SN</t>
  </si>
  <si>
    <t>FINISHED PRODUCTS</t>
  </si>
  <si>
    <t>CONDITIONING</t>
  </si>
  <si>
    <t>LAGOS</t>
  </si>
  <si>
    <t>OWERRI</t>
  </si>
  <si>
    <t>ABJ</t>
  </si>
  <si>
    <t>AWE</t>
  </si>
  <si>
    <t>JOS</t>
  </si>
  <si>
    <t>KADUNA</t>
  </si>
  <si>
    <t>TOTAL</t>
  </si>
  <si>
    <t>IN CARTON</t>
  </si>
  <si>
    <t>PRODUCT STATUS</t>
  </si>
  <si>
    <t>FAST MOVING</t>
  </si>
  <si>
    <t>SLOW MOVING</t>
  </si>
  <si>
    <t>AMPROLIUM 30 - 100GRM</t>
  </si>
  <si>
    <t>COXSTOP  100GRM</t>
  </si>
  <si>
    <t>COXSTOP  30GRM</t>
  </si>
  <si>
    <t>DISULTRIM  100GRM</t>
  </si>
  <si>
    <t>NOV,2025</t>
  </si>
  <si>
    <t>DISULTRIM 50GRM</t>
  </si>
  <si>
    <t>DIVERCAL-D</t>
  </si>
  <si>
    <t>DIVERCIPRO 1 LTR</t>
  </si>
  <si>
    <t>DIVERCOOL C 1 Ltr</t>
  </si>
  <si>
    <t>DEC,2025</t>
  </si>
  <si>
    <t>DIVERCOOL C 25Litres</t>
  </si>
  <si>
    <t>NEW PRODUCT ON OBSERVATION</t>
  </si>
  <si>
    <t>JAN ,2027</t>
  </si>
  <si>
    <t>DIVERCOX 1 LITRE</t>
  </si>
  <si>
    <t>DIVERDAZOLE 1 LTR</t>
  </si>
  <si>
    <t>DIVERFLOX    100GRM</t>
  </si>
  <si>
    <t>DIVERFUME 1KG</t>
  </si>
  <si>
    <t>DIVERGEN D  100GRM</t>
  </si>
  <si>
    <t>DIVERTAMIN</t>
  </si>
  <si>
    <t>DIVERVITE 1 LTRE</t>
  </si>
  <si>
    <t>DOXINEO 100GRM</t>
  </si>
  <si>
    <t>DOXINEO 50GRM</t>
  </si>
  <si>
    <t>ENRO  1 LTR</t>
  </si>
  <si>
    <t>GENTYLO - 100 GRM</t>
  </si>
  <si>
    <t>DEC,2026</t>
  </si>
  <si>
    <t>IVERTMECTIN 1 LTR</t>
  </si>
  <si>
    <t>MAY, 2026</t>
  </si>
  <si>
    <t>DIVERSEL E 1 LITRE</t>
  </si>
  <si>
    <t>DIVERSEL E 25 LITRES</t>
  </si>
  <si>
    <t>LEVASTAR 10OGRM</t>
  </si>
  <si>
    <t>LEVASTAR 5OGRM</t>
  </si>
  <si>
    <t>TRUSAN LIQUID SOAP 25LTR</t>
  </si>
  <si>
    <t>VETODINE 1 LTR</t>
  </si>
  <si>
    <t>VETODINE 25 LTR</t>
  </si>
  <si>
    <t>-</t>
  </si>
  <si>
    <t>SKU</t>
  </si>
  <si>
    <t>DESCRIPTION</t>
  </si>
  <si>
    <t xml:space="preserve">                                                                QTY AT REGIONAL STORES.</t>
  </si>
  <si>
    <t>INVENTORY ANALYSIS</t>
  </si>
  <si>
    <t>EXPIRY DATE</t>
  </si>
  <si>
    <t>DETAILS</t>
  </si>
  <si>
    <t>UNIT</t>
  </si>
  <si>
    <t>ABUJA</t>
  </si>
  <si>
    <t>TOTAL STOCK</t>
  </si>
  <si>
    <t>REORDER LEVEL.</t>
  </si>
  <si>
    <t>Biosecurity</t>
  </si>
  <si>
    <t>GOOD</t>
  </si>
  <si>
    <t>Bicofim -500grm</t>
  </si>
  <si>
    <t>PCS</t>
  </si>
  <si>
    <t>SLOW MOVING PRODUCT</t>
  </si>
  <si>
    <t>Biokleen 1LITRE</t>
  </si>
  <si>
    <t>Biokleen 20 Litres.</t>
  </si>
  <si>
    <t>KEGS</t>
  </si>
  <si>
    <t>Biokleen 500ml</t>
  </si>
  <si>
    <t>Citramax 1ltr</t>
  </si>
  <si>
    <t>Citramax 20ltrs</t>
  </si>
  <si>
    <t>FAST MOVING PRODUCTS</t>
  </si>
  <si>
    <t xml:space="preserve">Neodine 1 Ltr </t>
  </si>
  <si>
    <t>Neodine 20 Litres</t>
  </si>
  <si>
    <t>Neodine 500ml</t>
  </si>
  <si>
    <t xml:space="preserve">Terminator 1ltr </t>
  </si>
  <si>
    <t>APR, 2026</t>
  </si>
  <si>
    <t xml:space="preserve">Terminator 20 ltr </t>
  </si>
  <si>
    <t>DEC, 2025</t>
  </si>
  <si>
    <t>Tetrasan 1ltr</t>
  </si>
  <si>
    <t>Tetrasan 20 Litres</t>
  </si>
  <si>
    <t>Tetrasan 500ml</t>
  </si>
  <si>
    <t>NON-MOVING PRODUCT</t>
  </si>
  <si>
    <t>Viracid-S - 1kg</t>
  </si>
  <si>
    <t>Viracid-S 5.0kg</t>
  </si>
  <si>
    <t>Viracid-S 20 kg</t>
  </si>
  <si>
    <t>DRUMS</t>
  </si>
  <si>
    <t>Wyldox 500GM</t>
  </si>
  <si>
    <t>Wyldox 100GM</t>
  </si>
  <si>
    <t>Wyldox 20GM</t>
  </si>
  <si>
    <t>SUB TOTAL(Biosecurity)</t>
  </si>
  <si>
    <t>Concentrates</t>
  </si>
  <si>
    <t>Biokleen Concentrate 25ltr</t>
  </si>
  <si>
    <t>LITRES</t>
  </si>
  <si>
    <t>Citramax Concentrate - 25ltr</t>
  </si>
  <si>
    <t>Neodine Concentrate</t>
  </si>
  <si>
    <t>Terminator 111 Concentrate 25ltr</t>
  </si>
  <si>
    <t>Tetrasan Concentrate 25ltr</t>
  </si>
  <si>
    <t>SUB TOTAL(Concentrates)</t>
  </si>
  <si>
    <t>Drugs</t>
  </si>
  <si>
    <t>Avertin Oralsolution 1% 100ml</t>
  </si>
  <si>
    <t>Ds-LivorTon Liquid-500ml</t>
  </si>
  <si>
    <t>DS-Siproxin 10%-100gm</t>
  </si>
  <si>
    <t>JUN,2026</t>
  </si>
  <si>
    <t>Megadox-N 100gm</t>
  </si>
  <si>
    <t>Oxy-100-FS - 10kg</t>
  </si>
  <si>
    <t>QUINROCIN ORAL 1 LTRE</t>
  </si>
  <si>
    <t>TYLOTON-100G</t>
  </si>
  <si>
    <t>Ultracal - D - 500ml</t>
  </si>
  <si>
    <t>Ultra -TM Plus 500ml</t>
  </si>
  <si>
    <t xml:space="preserve">Ultravite-M/WS-100gm </t>
  </si>
  <si>
    <t>SUB TOTAL(DRUGS)</t>
  </si>
  <si>
    <t>SUB TOTAL(VACCINES)</t>
  </si>
  <si>
    <t>Equipment</t>
  </si>
  <si>
    <t>Automatic Feeding System</t>
  </si>
  <si>
    <t>Cage - Rearing on Floor</t>
  </si>
  <si>
    <t>capacities</t>
  </si>
  <si>
    <t>Chick Nipples</t>
  </si>
  <si>
    <t>Commercial Layer Cage</t>
  </si>
  <si>
    <t>10000 CAPACITIES.</t>
  </si>
  <si>
    <t>CHAIN LINK-1.25 X1.6MMX10X50</t>
  </si>
  <si>
    <t>ROLLS</t>
  </si>
  <si>
    <t>CHAIN LINK-1.75 X2MMX10X50</t>
  </si>
  <si>
    <t>Fan Single Phase for  Poultry House</t>
  </si>
  <si>
    <t>Fan-Three Phase for Poultry House</t>
  </si>
  <si>
    <t>Fencing 1.25"x16gx10x50</t>
  </si>
  <si>
    <t>Fencing 1.25"x16gx8x50</t>
  </si>
  <si>
    <t>GI WIRE 2MM IN MT - 90 GSM(250kg/roll).</t>
  </si>
  <si>
    <t>KG</t>
  </si>
  <si>
    <t>GI WIRE 2MM- 90 GSM(500kg/roll)</t>
  </si>
  <si>
    <t>Poultry Gas Brooder Doubleset</t>
  </si>
  <si>
    <t>Rearing Birds Cages.</t>
  </si>
  <si>
    <t>BOXES</t>
  </si>
  <si>
    <t>2000 BOXES</t>
  </si>
  <si>
    <t>Vaccinator</t>
  </si>
  <si>
    <t>Foggers</t>
  </si>
  <si>
    <t xml:space="preserve">Mini chick feeder red and white </t>
  </si>
  <si>
    <t>Nipple pipes broiler</t>
  </si>
  <si>
    <t>3/4 Saddles</t>
  </si>
  <si>
    <t>CHICK FEEDER 18 FEET LONG</t>
  </si>
  <si>
    <t>PVC BOLT &amp; NUT</t>
  </si>
  <si>
    <t>PVC FRONT RUNNER FLAT BAR</t>
  </si>
  <si>
    <t>BIG JUMBO FEEDER</t>
  </si>
  <si>
    <t>SMALL JUMBO FEEDER</t>
  </si>
  <si>
    <t>SUB TOTA(LOCAL CAGE MATERIAL)</t>
  </si>
  <si>
    <t>Packaging</t>
  </si>
  <si>
    <t>1 Litre Bottle(WHITE)</t>
  </si>
  <si>
    <t>1 Litre Bottle(RED)</t>
  </si>
  <si>
    <t>20 Litres Keg</t>
  </si>
  <si>
    <t>500ml Bottle</t>
  </si>
  <si>
    <t>NON MOVING PRODUCTS</t>
  </si>
  <si>
    <t>Biokleen Label</t>
  </si>
  <si>
    <t>Biokleen Label 20ltrs</t>
  </si>
  <si>
    <t>Citramax 500ml Label</t>
  </si>
  <si>
    <t>Citramax Label</t>
  </si>
  <si>
    <t>Citramax Label 20ltrs</t>
  </si>
  <si>
    <t>Egg Crates</t>
  </si>
  <si>
    <t>Neodine 500ml Label</t>
  </si>
  <si>
    <t>Neodine Label</t>
  </si>
  <si>
    <t>Neodine Label 20ltrs</t>
  </si>
  <si>
    <t>Packaging Outer Carton 500 ML</t>
  </si>
  <si>
    <t>Packaging Outer Carton</t>
  </si>
  <si>
    <t>PACKAGING OUTER CARTON-DSL</t>
  </si>
  <si>
    <t>Plastic Egg Tray 1</t>
  </si>
  <si>
    <t>Terminator III 500ml Label</t>
  </si>
  <si>
    <t>Terminator III Label</t>
  </si>
  <si>
    <t>Terminator Label 20ltr Keg</t>
  </si>
  <si>
    <t>Tetrasan Label</t>
  </si>
  <si>
    <t>Tetrasan Label 20ltrs Keg</t>
  </si>
  <si>
    <t>Viracid  1kg Label</t>
  </si>
  <si>
    <t>VIRACID 1 KG CARTON</t>
  </si>
  <si>
    <t>Viracid  5kg Label</t>
  </si>
  <si>
    <t>SUB TOTAL(PACKAGING)</t>
  </si>
  <si>
    <t>Premixes</t>
  </si>
  <si>
    <t>Acifed-Fs- 20kg</t>
  </si>
  <si>
    <t>BAGS</t>
  </si>
  <si>
    <t>A-GEEMIX FORTE</t>
  </si>
  <si>
    <t>NON MOVING PRODUCT</t>
  </si>
  <si>
    <t>Curatox-Fs</t>
  </si>
  <si>
    <t>HERBAN 20kg</t>
  </si>
  <si>
    <t>KIKSTART-CXL 1KG</t>
  </si>
  <si>
    <t>Kolin Powder - 25kg</t>
  </si>
  <si>
    <t>Natchol - 25kg</t>
  </si>
  <si>
    <t>Phytocee - 25kg</t>
  </si>
  <si>
    <t>Phytocee Cool - 1kg .</t>
  </si>
  <si>
    <t>Phytonin - 25kg .</t>
  </si>
  <si>
    <t>Stodi - 25kg</t>
  </si>
  <si>
    <t>Topicure Spray 250ml (25/ctn)</t>
  </si>
  <si>
    <t>OCT,2025</t>
  </si>
  <si>
    <t>ULTRASIL-TCF 25KG</t>
  </si>
  <si>
    <t>Zigbir Powder -25kg</t>
  </si>
  <si>
    <t>Zigbir Liquid 1 ltre.</t>
  </si>
  <si>
    <t>SHELF LIFE ANALYSIS FOR THE  TOP NEAR EXPIRED FOR WEEK 9(23rD FEB-1st MAR, 2025)</t>
  </si>
  <si>
    <t>Trade Mark Name</t>
  </si>
  <si>
    <t>Product Name</t>
  </si>
  <si>
    <t>Qty Available.</t>
  </si>
  <si>
    <t>Store</t>
  </si>
  <si>
    <t>Batch Numb.</t>
  </si>
  <si>
    <t>Manufacturing Date</t>
  </si>
  <si>
    <t>Expiring Date</t>
  </si>
  <si>
    <t>Today's Date</t>
  </si>
  <si>
    <t>Days Spent</t>
  </si>
  <si>
    <t>Shelf-Life</t>
  </si>
  <si>
    <t>Qtr M1</t>
  </si>
  <si>
    <t>Qtr M2</t>
  </si>
  <si>
    <t>Qtr M3</t>
  </si>
  <si>
    <t>Qtr M4</t>
  </si>
  <si>
    <t>Indicator</t>
  </si>
  <si>
    <t>Index</t>
  </si>
  <si>
    <t>Store Remark</t>
  </si>
  <si>
    <t>BHARTI</t>
  </si>
  <si>
    <t>ALL REGION</t>
  </si>
  <si>
    <t>SR/WLT/A111</t>
  </si>
  <si>
    <t>Warning</t>
  </si>
  <si>
    <t>In - Store</t>
  </si>
  <si>
    <t>NATURAL REMEDIES</t>
  </si>
  <si>
    <t>22J002</t>
  </si>
  <si>
    <t>STODI</t>
  </si>
  <si>
    <t>Barely Fair</t>
  </si>
  <si>
    <t>NEOSPARK</t>
  </si>
  <si>
    <t>Good 2</t>
  </si>
  <si>
    <t>%</t>
  </si>
  <si>
    <t>JUNE, 2027</t>
  </si>
  <si>
    <t>MAY, 2027</t>
  </si>
  <si>
    <t>WYLDOX TABLET (10G *100PCS)</t>
  </si>
  <si>
    <t>LAGOS/AWE</t>
  </si>
  <si>
    <t>LAGOS/JOS</t>
  </si>
  <si>
    <t>MAXIZYME</t>
  </si>
  <si>
    <t>NEW PRODUCT</t>
  </si>
  <si>
    <t>MAR, 2028</t>
  </si>
  <si>
    <t>AUG, 2027</t>
  </si>
  <si>
    <t>MAR, 2027</t>
  </si>
  <si>
    <t>MAY/JUNE 2027</t>
  </si>
  <si>
    <t xml:space="preserve"> MAY, 2026</t>
  </si>
  <si>
    <t>SEP, 2027</t>
  </si>
  <si>
    <t>OCT, 2027</t>
  </si>
  <si>
    <t>APR/ MAY 2026</t>
  </si>
  <si>
    <t>OCT,2027</t>
  </si>
  <si>
    <t>LAG/JOS</t>
  </si>
  <si>
    <t>OWERI</t>
  </si>
  <si>
    <t xml:space="preserve">                                     DSLP INVENTORY REPORT FOR  WEEK 2 (4TH-10TH JAN, 2026).</t>
  </si>
  <si>
    <t xml:space="preserve"> DSL INVENTORY  REPORT FOR  WEEK 2 (4TH-10TH JAN, 2026).</t>
  </si>
  <si>
    <t xml:space="preserve"> SLOW DSL INVENTORY REPORT FOR  REPORT FOR  WEEK 2 (4TH-10TH JAN, 2026).</t>
  </si>
  <si>
    <t>CRITICAL ANALYSIS FOR NEAR EXPIRED  REPORT FOR WEEK 2 (4TH-10TH JAN, 2026).</t>
  </si>
  <si>
    <t>RAW MATERIALS</t>
  </si>
  <si>
    <t>Requirements in Kg / Unit</t>
  </si>
  <si>
    <t xml:space="preserve">Monthly RQMT by Budget </t>
  </si>
  <si>
    <t>Stock At Hand</t>
  </si>
  <si>
    <t>Stock In Transit</t>
  </si>
  <si>
    <t>Total Stock</t>
  </si>
  <si>
    <t>Stock Holding / Month</t>
  </si>
  <si>
    <t>Remark / Planned Request</t>
  </si>
  <si>
    <t>Status</t>
  </si>
  <si>
    <t>A</t>
  </si>
  <si>
    <t>ACTIVE PHARMACEUTICAL INGREDIENT</t>
  </si>
  <si>
    <t>Amprolium</t>
  </si>
  <si>
    <t>REQUEST PLACED</t>
  </si>
  <si>
    <t>PROCUREMENT VIEW</t>
  </si>
  <si>
    <t>Diaveridin</t>
  </si>
  <si>
    <t>OK</t>
  </si>
  <si>
    <t>Sulphaquinoxaline</t>
  </si>
  <si>
    <t>Sulphamethoxazole</t>
  </si>
  <si>
    <t>Trimethoprim</t>
  </si>
  <si>
    <t>Pefloxacin</t>
  </si>
  <si>
    <t>Gentamycin</t>
  </si>
  <si>
    <t>Doxycycline</t>
  </si>
  <si>
    <t>Neomycin</t>
  </si>
  <si>
    <t>Tylosine</t>
  </si>
  <si>
    <t>Levamisole</t>
  </si>
  <si>
    <t>Ciprofoxacine</t>
  </si>
  <si>
    <t xml:space="preserve">Enrofloxacine </t>
  </si>
  <si>
    <t>Ivermectin</t>
  </si>
  <si>
    <t>Povidone</t>
  </si>
  <si>
    <t>Divertamin B Plus</t>
  </si>
  <si>
    <t>Vitamin A ACETATE</t>
  </si>
  <si>
    <t>TO BE SOLD OFF</t>
  </si>
  <si>
    <t>Vitamin A Palmitate</t>
  </si>
  <si>
    <t>VITAMIN B12(CYANOCOLOBALAMIN)</t>
  </si>
  <si>
    <t>RIBOFLAVIN 98% (VIT B 2)</t>
  </si>
  <si>
    <t>Vitamin C Coated</t>
  </si>
  <si>
    <t>Vitamin D3</t>
  </si>
  <si>
    <t>Vitamin E liquid</t>
  </si>
  <si>
    <t>vitamin E powder</t>
  </si>
  <si>
    <t>Vitamin K3</t>
  </si>
  <si>
    <t>Abendazol</t>
  </si>
  <si>
    <t>Ammonium citrate</t>
  </si>
  <si>
    <t>EXCESS STOCK PART TO BE SOLD OFF</t>
  </si>
  <si>
    <t>Ascorbic Acid</t>
  </si>
  <si>
    <t>biotin</t>
  </si>
  <si>
    <t>calcium gluconate</t>
  </si>
  <si>
    <t>choline chloride</t>
  </si>
  <si>
    <t>diclazuril</t>
  </si>
  <si>
    <t>d-calcium</t>
  </si>
  <si>
    <t>folic acid</t>
  </si>
  <si>
    <t>inositol</t>
  </si>
  <si>
    <t>l-lysin</t>
  </si>
  <si>
    <t>nicotinamade</t>
  </si>
  <si>
    <t>pyridoxine</t>
  </si>
  <si>
    <t>thiamine</t>
  </si>
  <si>
    <t>Propyl gallate</t>
  </si>
  <si>
    <t>fish collagen</t>
  </si>
  <si>
    <t>eclipta prostrata</t>
  </si>
  <si>
    <t>boric acid</t>
  </si>
  <si>
    <t>peg 400</t>
  </si>
  <si>
    <t>raspberry flavour</t>
  </si>
  <si>
    <t>cobalt sulphate</t>
  </si>
  <si>
    <t>sodium metabisulphite</t>
  </si>
  <si>
    <t>B</t>
  </si>
  <si>
    <t>Lactose</t>
  </si>
  <si>
    <t>Fumaric</t>
  </si>
  <si>
    <t>ok</t>
  </si>
  <si>
    <t>Dextrose</t>
  </si>
  <si>
    <t>FRESH REQUEST PLACED</t>
  </si>
  <si>
    <t>WHILE NEAR EXPIRED NEEDS  TO BE USED BEFORE EXPIRED</t>
  </si>
  <si>
    <t>Aerosil</t>
  </si>
  <si>
    <t>Pottasium Hydroxide</t>
  </si>
  <si>
    <t>0K</t>
  </si>
  <si>
    <t>Pottasium Chloride</t>
  </si>
  <si>
    <t>Glycerin</t>
  </si>
  <si>
    <t>Benzyl Alcohol</t>
  </si>
  <si>
    <t>Methionine</t>
  </si>
  <si>
    <t>Propylene glycol</t>
  </si>
  <si>
    <t>Disodium Hydrogen Phosphate</t>
  </si>
  <si>
    <t>Citic acid</t>
  </si>
  <si>
    <t>Nitrosol</t>
  </si>
  <si>
    <t>Caustic Soda</t>
  </si>
  <si>
    <t>Texapon</t>
  </si>
  <si>
    <t>Sulphonic Acid</t>
  </si>
  <si>
    <t>STPP</t>
  </si>
  <si>
    <t>Soda ASH</t>
  </si>
  <si>
    <t>Booster</t>
  </si>
  <si>
    <t>SLS Rice</t>
  </si>
  <si>
    <t>Perfume</t>
  </si>
  <si>
    <t>Chocolate Colourant</t>
  </si>
  <si>
    <t xml:space="preserve">ETHANOL (ETHYL ALCOHOL)  </t>
  </si>
  <si>
    <t xml:space="preserve">FRAGRANCE </t>
  </si>
  <si>
    <t xml:space="preserve">TRIETHALOAMINE </t>
  </si>
  <si>
    <t xml:space="preserve">HYROGEN PEROXIDE </t>
  </si>
  <si>
    <t xml:space="preserve">Carbopol </t>
  </si>
  <si>
    <t>Pineapple flavor</t>
  </si>
  <si>
    <t>orange flavor</t>
  </si>
  <si>
    <t>tetrazine yellow</t>
  </si>
  <si>
    <t>sorbitol</t>
  </si>
  <si>
    <t>malt flavour</t>
  </si>
  <si>
    <t>sodium sulphate</t>
  </si>
  <si>
    <t>sodium chloride</t>
  </si>
  <si>
    <t>EDTA</t>
  </si>
  <si>
    <t>Ferrous sulphate</t>
  </si>
  <si>
    <t>propyl Paraben</t>
  </si>
  <si>
    <t>methyl paraben</t>
  </si>
  <si>
    <t>chocolate colorant</t>
  </si>
  <si>
    <t>poly sorbate</t>
  </si>
  <si>
    <t>C</t>
  </si>
  <si>
    <t>PACKAGING MATERIALS</t>
  </si>
  <si>
    <t>Amprolium Foil 100gm</t>
  </si>
  <si>
    <t>Inner carton</t>
  </si>
  <si>
    <t>Outer carton powder</t>
  </si>
  <si>
    <t>Label-Amprolium</t>
  </si>
  <si>
    <t>Coxstop Foil 100gm</t>
  </si>
  <si>
    <t>Label-Coxstop 100gm</t>
  </si>
  <si>
    <t>Coxstop Foil 30gm</t>
  </si>
  <si>
    <t>Label-Coxstop 30gm</t>
  </si>
  <si>
    <t>Disultrim Foil 100gm</t>
  </si>
  <si>
    <t>Label-Disultrim 100gm</t>
  </si>
  <si>
    <t>Diverflox Foil 100gm</t>
  </si>
  <si>
    <t>Label-Diverflox powder 100gm</t>
  </si>
  <si>
    <t>Divergen-D Foil 100gm</t>
  </si>
  <si>
    <t>Label-Divergen-D 100gm</t>
  </si>
  <si>
    <t>Divertamin Foil 100gm</t>
  </si>
  <si>
    <t>Label-Divertamin powder 100gm</t>
  </si>
  <si>
    <t>Doxineo Foil 100gm</t>
  </si>
  <si>
    <t>Label-Doxineo powder 100gm</t>
  </si>
  <si>
    <t>Doxineo Foil 50gm</t>
  </si>
  <si>
    <t>Label-Doxineo powder 50gm</t>
  </si>
  <si>
    <t>Gentylo Foil 100gm</t>
  </si>
  <si>
    <t>Label-Gentylo powder</t>
  </si>
  <si>
    <t>Levastar Foil 100gm</t>
  </si>
  <si>
    <t>Label-Levastar 100gm</t>
  </si>
  <si>
    <t xml:space="preserve">1Ltr Cipro Label </t>
  </si>
  <si>
    <t>1 ltr Liquid Outer carton</t>
  </si>
  <si>
    <t>1 Ltr White bottle, cap (Cipro, Enro, Mectin, VetO)</t>
  </si>
  <si>
    <t>1 Ltr Wad (Cipro, Enro, Mectin)</t>
  </si>
  <si>
    <t>1 Ltr Wad (VetOdine)</t>
  </si>
  <si>
    <t xml:space="preserve">1Ltr Enro Label on bottle </t>
  </si>
  <si>
    <t>1 Ltr. Ivermectin Label</t>
  </si>
  <si>
    <t xml:space="preserve">Vetodine  1 ltr Label </t>
  </si>
  <si>
    <t>Vetodine Keg 25Ltrs</t>
  </si>
  <si>
    <t>Vetodine Label   25Ltrs</t>
  </si>
  <si>
    <t>Soap Galon 25Ltrs</t>
  </si>
  <si>
    <t xml:space="preserve">Sanitiser Pump Cap </t>
  </si>
  <si>
    <t xml:space="preserve">Sanitiser Bottle </t>
  </si>
  <si>
    <t>Sanitiser Label</t>
  </si>
  <si>
    <t xml:space="preserve">Sanitiser Carton </t>
  </si>
  <si>
    <t>diver-FUME pouch</t>
  </si>
  <si>
    <t>divercal-D label</t>
  </si>
  <si>
    <t>Divercool label</t>
  </si>
  <si>
    <t>Divercox label</t>
  </si>
  <si>
    <t>Diverdazole label</t>
  </si>
  <si>
    <t>Diverfume 1kg label</t>
  </si>
  <si>
    <t>diverfume 200grm label</t>
  </si>
  <si>
    <t>diverfume 500grm label</t>
  </si>
  <si>
    <t xml:space="preserve">diversel-E Label </t>
  </si>
  <si>
    <t>divervite label</t>
  </si>
  <si>
    <t>livervite label</t>
  </si>
  <si>
    <t xml:space="preserve">                         RAW MATERIAL BALANCE FOR WEEK WEEK 2 (4TH-10TH JAN, 2026).</t>
  </si>
  <si>
    <t>REWORK</t>
  </si>
  <si>
    <t>NOV, 2027</t>
  </si>
  <si>
    <t>OCT /NOV, 2027</t>
  </si>
  <si>
    <t>DEC,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</si>
</sst>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[$-F800]dddd\,\ mmmm\ dd\,\ yyyy"/>
    <numFmt numFmtId="167" formatCode="_-* #,##0.000_-;\-* #,##0.000_-;_-* &quot;-&quot;??_-;_-@_-"/>
  </numFmts>
  <fonts count="5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262626"/>
      <name val="Libre Franklin"/>
    </font>
    <font>
      <sz val="11"/>
      <color theme="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Arial"/>
      <family val="2"/>
    </font>
    <font>
      <i/>
      <sz val="9"/>
      <color indexed="8"/>
      <name val="Arial"/>
      <family val="2"/>
    </font>
    <font>
      <b/>
      <sz val="9"/>
      <color indexed="8"/>
      <name val="Arial"/>
      <family val="2"/>
    </font>
    <font>
      <b/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FF0000"/>
      <name val="Arial"/>
      <family val="2"/>
    </font>
    <font>
      <i/>
      <sz val="9"/>
      <color rgb="FFFF0000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Gadugi"/>
      <family val="2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16"/>
      <name val="Calibri"/>
      <family val="2"/>
    </font>
    <font>
      <sz val="11"/>
      <color theme="1"/>
      <name val="Gadug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Georgia"/>
      <family val="1"/>
    </font>
    <font>
      <b/>
      <sz val="12"/>
      <color theme="1"/>
      <name val="Georgia"/>
      <family val="1"/>
    </font>
    <font>
      <b/>
      <sz val="12"/>
      <color rgb="FFFF0000"/>
      <name val="Georgia"/>
      <family val="1"/>
    </font>
    <font>
      <b/>
      <sz val="10"/>
      <color theme="1"/>
      <name val="Georgia"/>
      <family val="1"/>
    </font>
    <font>
      <b/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51170384838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4" fontId="3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1" fillId="16" borderId="0" applyNumberFormat="0" applyBorder="0" applyAlignment="0" applyProtection="0"/>
    <xf numFmtId="0" fontId="6" fillId="12" borderId="0" applyNumberFormat="0" applyBorder="0" applyAlignment="0" applyProtection="0"/>
    <xf numFmtId="0" fontId="30" fillId="17" borderId="0" applyNumberFormat="0" applyBorder="0" applyAlignment="0" applyProtection="0"/>
    <xf numFmtId="0" fontId="6" fillId="2" borderId="0" applyNumberFormat="0" applyBorder="0" applyAlignment="0" applyProtection="0"/>
    <xf numFmtId="0" fontId="3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6" applyBorder="1" applyAlignment="1">
      <alignment horizontal="right" vertical="center"/>
    </xf>
    <xf numFmtId="0" fontId="6" fillId="2" borderId="1" xfId="6" applyBorder="1" applyAlignment="1">
      <alignment horizontal="left" vertical="center"/>
    </xf>
    <xf numFmtId="0" fontId="6" fillId="2" borderId="1" xfId="6" applyBorder="1" applyAlignment="1">
      <alignment horizontal="center" vertical="center"/>
    </xf>
    <xf numFmtId="14" fontId="0" fillId="0" borderId="1" xfId="0" applyNumberFormat="1" applyBorder="1"/>
    <xf numFmtId="14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0" borderId="1" xfId="0" applyFont="1" applyBorder="1"/>
    <xf numFmtId="49" fontId="6" fillId="2" borderId="1" xfId="6" applyNumberFormat="1" applyBorder="1" applyAlignment="1">
      <alignment horizontal="center" vertical="top"/>
    </xf>
    <xf numFmtId="43" fontId="6" fillId="2" borderId="1" xfId="6" applyNumberFormat="1" applyBorder="1" applyAlignment="1">
      <alignment vertical="top"/>
    </xf>
    <xf numFmtId="0" fontId="9" fillId="0" borderId="1" xfId="0" applyFont="1" applyBorder="1"/>
    <xf numFmtId="49" fontId="10" fillId="0" borderId="1" xfId="0" applyNumberFormat="1" applyFont="1" applyBorder="1" applyAlignment="1">
      <alignment horizontal="center" vertical="top"/>
    </xf>
    <xf numFmtId="43" fontId="0" fillId="0" borderId="1" xfId="0" applyNumberFormat="1" applyBorder="1"/>
    <xf numFmtId="0" fontId="0" fillId="0" borderId="1" xfId="0" applyBorder="1"/>
    <xf numFmtId="0" fontId="0" fillId="0" borderId="2" xfId="0" applyBorder="1"/>
    <xf numFmtId="49" fontId="11" fillId="0" borderId="1" xfId="0" applyNumberFormat="1" applyFont="1" applyBorder="1" applyAlignment="1">
      <alignment horizontal="center" vertical="top"/>
    </xf>
    <xf numFmtId="49" fontId="12" fillId="4" borderId="1" xfId="0" applyNumberFormat="1" applyFont="1" applyFill="1" applyBorder="1" applyAlignment="1">
      <alignment horizontal="center" vertical="top"/>
    </xf>
    <xf numFmtId="0" fontId="8" fillId="0" borderId="3" xfId="0" applyFont="1" applyBorder="1"/>
    <xf numFmtId="49" fontId="12" fillId="4" borderId="3" xfId="0" applyNumberFormat="1" applyFont="1" applyFill="1" applyBorder="1" applyAlignment="1">
      <alignment horizontal="center" vertical="top"/>
    </xf>
    <xf numFmtId="0" fontId="6" fillId="2" borderId="1" xfId="6" applyBorder="1"/>
    <xf numFmtId="0" fontId="6" fillId="2" borderId="1" xfId="6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43" fontId="0" fillId="0" borderId="1" xfId="0" applyNumberFormat="1" applyBorder="1" applyAlignment="1">
      <alignment horizontal="center"/>
    </xf>
    <xf numFmtId="0" fontId="13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/>
    <xf numFmtId="1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4" fontId="0" fillId="0" borderId="1" xfId="1" applyFont="1" applyBorder="1"/>
    <xf numFmtId="0" fontId="6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/>
    <xf numFmtId="14" fontId="7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16" fillId="10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12" fillId="4" borderId="1" xfId="0" applyNumberFormat="1" applyFont="1" applyFill="1" applyBorder="1" applyAlignment="1">
      <alignment horizontal="center" vertical="top"/>
    </xf>
    <xf numFmtId="0" fontId="6" fillId="12" borderId="1" xfId="4" applyBorder="1"/>
    <xf numFmtId="0" fontId="8" fillId="0" borderId="1" xfId="0" applyFont="1" applyBorder="1" applyAlignment="1">
      <alignment horizontal="center"/>
    </xf>
    <xf numFmtId="0" fontId="19" fillId="3" borderId="1" xfId="0" applyFont="1" applyFill="1" applyBorder="1"/>
    <xf numFmtId="49" fontId="20" fillId="3" borderId="1" xfId="0" applyNumberFormat="1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/>
    </xf>
    <xf numFmtId="43" fontId="13" fillId="3" borderId="1" xfId="0" applyNumberFormat="1" applyFont="1" applyFill="1" applyBorder="1"/>
    <xf numFmtId="49" fontId="21" fillId="0" borderId="1" xfId="0" applyNumberFormat="1" applyFont="1" applyBorder="1" applyAlignment="1">
      <alignment horizontal="center" vertical="top"/>
    </xf>
    <xf numFmtId="0" fontId="22" fillId="13" borderId="1" xfId="0" applyFont="1" applyFill="1" applyBorder="1"/>
    <xf numFmtId="0" fontId="22" fillId="13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7" fontId="0" fillId="0" borderId="1" xfId="0" applyNumberFormat="1" applyBorder="1" applyAlignment="1">
      <alignment horizontal="center"/>
    </xf>
    <xf numFmtId="164" fontId="13" fillId="3" borderId="1" xfId="0" applyNumberFormat="1" applyFont="1" applyFill="1" applyBorder="1"/>
    <xf numFmtId="43" fontId="6" fillId="2" borderId="2" xfId="6" applyNumberFormat="1" applyBorder="1" applyAlignment="1">
      <alignment horizontal="center" vertical="top"/>
    </xf>
    <xf numFmtId="43" fontId="6" fillId="2" borderId="2" xfId="6" applyNumberFormat="1" applyBorder="1" applyAlignment="1">
      <alignment vertical="top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9" fillId="0" borderId="1" xfId="0" applyFont="1" applyBorder="1"/>
    <xf numFmtId="49" fontId="20" fillId="0" borderId="1" xfId="0" applyNumberFormat="1" applyFont="1" applyBorder="1" applyAlignment="1">
      <alignment horizontal="center" vertical="top"/>
    </xf>
    <xf numFmtId="0" fontId="0" fillId="3" borderId="1" xfId="0" applyFill="1" applyBorder="1"/>
    <xf numFmtId="0" fontId="25" fillId="0" borderId="1" xfId="0" applyFont="1" applyBorder="1" applyAlignment="1">
      <alignment horizontal="center"/>
    </xf>
    <xf numFmtId="3" fontId="26" fillId="0" borderId="0" xfId="0" applyNumberFormat="1" applyFont="1"/>
    <xf numFmtId="0" fontId="0" fillId="3" borderId="0" xfId="0" applyFill="1"/>
    <xf numFmtId="0" fontId="27" fillId="0" borderId="1" xfId="2" applyBorder="1" applyAlignment="1">
      <alignment horizontal="center"/>
    </xf>
    <xf numFmtId="0" fontId="25" fillId="0" borderId="1" xfId="0" applyFont="1" applyBorder="1"/>
    <xf numFmtId="0" fontId="0" fillId="0" borderId="1" xfId="0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22" fontId="0" fillId="0" borderId="0" xfId="0" applyNumberFormat="1"/>
    <xf numFmtId="43" fontId="29" fillId="15" borderId="1" xfId="0" applyNumberFormat="1" applyFont="1" applyFill="1" applyBorder="1" applyAlignment="1">
      <alignment horizontal="center"/>
    </xf>
    <xf numFmtId="0" fontId="29" fillId="15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9" fillId="13" borderId="1" xfId="3" applyFont="1" applyFill="1" applyBorder="1" applyAlignment="1">
      <alignment horizontal="center"/>
    </xf>
    <xf numFmtId="0" fontId="29" fillId="13" borderId="6" xfId="3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49" fontId="34" fillId="0" borderId="1" xfId="0" applyNumberFormat="1" applyFont="1" applyBorder="1" applyAlignment="1">
      <alignment horizontal="center"/>
    </xf>
    <xf numFmtId="43" fontId="28" fillId="14" borderId="1" xfId="0" applyNumberFormat="1" applyFont="1" applyFill="1" applyBorder="1" applyAlignment="1">
      <alignment horizontal="center"/>
    </xf>
    <xf numFmtId="43" fontId="8" fillId="14" borderId="1" xfId="0" applyNumberFormat="1" applyFont="1" applyFill="1" applyBorder="1" applyAlignment="1">
      <alignment horizontal="center"/>
    </xf>
    <xf numFmtId="43" fontId="30" fillId="13" borderId="1" xfId="5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0" fontId="35" fillId="3" borderId="1" xfId="0" applyFont="1" applyFill="1" applyBorder="1" applyAlignment="1">
      <alignment horizontal="center"/>
    </xf>
    <xf numFmtId="43" fontId="35" fillId="3" borderId="1" xfId="0" applyNumberFormat="1" applyFont="1" applyFill="1" applyBorder="1"/>
    <xf numFmtId="164" fontId="35" fillId="3" borderId="1" xfId="0" applyNumberFormat="1" applyFont="1" applyFill="1" applyBorder="1"/>
    <xf numFmtId="0" fontId="36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37" fillId="0" borderId="1" xfId="0" applyFon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40" fillId="0" borderId="1" xfId="1" applyFont="1" applyBorder="1" applyAlignment="1">
      <alignment horizontal="center"/>
    </xf>
    <xf numFmtId="164" fontId="41" fillId="0" borderId="1" xfId="1" applyFon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4" fillId="0" borderId="1" xfId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2" fillId="0" borderId="7" xfId="0" applyFont="1" applyBorder="1" applyAlignment="1">
      <alignment horizontal="left"/>
    </xf>
    <xf numFmtId="0" fontId="42" fillId="0" borderId="7" xfId="0" applyFont="1" applyBorder="1" applyAlignment="1">
      <alignment horizontal="center"/>
    </xf>
    <xf numFmtId="0" fontId="43" fillId="0" borderId="8" xfId="7" applyFont="1" applyBorder="1" applyAlignment="1">
      <alignment horizontal="center"/>
    </xf>
    <xf numFmtId="0" fontId="43" fillId="3" borderId="9" xfId="7" applyFont="1" applyFill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45" fillId="0" borderId="13" xfId="7" applyFont="1" applyBorder="1" applyAlignment="1">
      <alignment horizontal="center"/>
    </xf>
    <xf numFmtId="0" fontId="45" fillId="0" borderId="14" xfId="7" applyFont="1" applyBorder="1" applyAlignment="1">
      <alignment horizontal="center"/>
    </xf>
    <xf numFmtId="0" fontId="46" fillId="0" borderId="2" xfId="7" applyFont="1" applyBorder="1" applyAlignment="1">
      <alignment horizontal="center"/>
    </xf>
    <xf numFmtId="3" fontId="47" fillId="0" borderId="1" xfId="7" applyNumberFormat="1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5" fillId="0" borderId="1" xfId="7" applyFont="1" applyBorder="1" applyAlignment="1">
      <alignment horizontal="center"/>
    </xf>
    <xf numFmtId="0" fontId="49" fillId="0" borderId="1" xfId="7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7" fontId="49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9" fillId="3" borderId="1" xfId="7" applyFont="1" applyFill="1" applyBorder="1" applyAlignment="1">
      <alignment horizontal="center"/>
    </xf>
    <xf numFmtId="3" fontId="50" fillId="13" borderId="1" xfId="7" applyNumberFormat="1" applyFont="1" applyFill="1" applyBorder="1" applyAlignment="1">
      <alignment horizontal="center"/>
    </xf>
    <xf numFmtId="0" fontId="6" fillId="12" borderId="12" xfId="4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47" fillId="0" borderId="4" xfId="7" applyNumberFormat="1" applyFont="1" applyBorder="1" applyAlignment="1">
      <alignment horizontal="center"/>
    </xf>
    <xf numFmtId="3" fontId="47" fillId="0" borderId="2" xfId="7" applyNumberFormat="1" applyFont="1" applyBorder="1" applyAlignment="1">
      <alignment horizontal="center"/>
    </xf>
    <xf numFmtId="0" fontId="44" fillId="0" borderId="15" xfId="0" applyFont="1" applyBorder="1" applyAlignment="1">
      <alignment horizontal="center"/>
    </xf>
    <xf numFmtId="0" fontId="43" fillId="3" borderId="16" xfId="7" applyFont="1" applyFill="1" applyBorder="1" applyAlignment="1">
      <alignment horizontal="center"/>
    </xf>
    <xf numFmtId="0" fontId="0" fillId="0" borderId="4" xfId="0" applyBorder="1"/>
    <xf numFmtId="0" fontId="44" fillId="0" borderId="8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43" fontId="6" fillId="2" borderId="1" xfId="6" applyNumberForma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45" fillId="0" borderId="1" xfId="7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8">
    <cellStyle name="20% - Accent2" xfId="5" builtinId="34"/>
    <cellStyle name="Accent1" xfId="4" builtinId="29"/>
    <cellStyle name="Accent6" xfId="6" builtinId="49"/>
    <cellStyle name="Bad" xfId="3" builtinId="27"/>
    <cellStyle name="Comma" xfId="1" builtinId="3"/>
    <cellStyle name="Hyperlink" xfId="2" builtinId="8"/>
    <cellStyle name="Normal" xfId="0" builtinId="0"/>
    <cellStyle name="Normal 5 2" xfId="7" xr:uid="{00000000-0005-0000-0000-000031000000}"/>
  </cellStyles>
  <dxfs count="6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669900"/>
        </patternFill>
      </fill>
    </dxf>
    <dxf>
      <fill>
        <patternFill patternType="solid">
          <bgColor rgb="FFFF9933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C:\Users\Grace%20Ogunniyi\AppData\Local\Microsoft\Windows\INetCache\Content.Outlook\YZ0VLMX9\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1402-F599-4EFE-80B1-ABC06A44E771}">
  <dimension ref="A1:K143"/>
  <sheetViews>
    <sheetView tabSelected="1" topLeftCell="B1" workbookViewId="0">
      <pane xSplit="6" ySplit="12" topLeftCell="H142" activePane="bottomRight" state="frozen"/>
      <selection pane="topRight"/>
      <selection pane="bottomLeft"/>
      <selection pane="bottomRight" activeCell="K144" sqref="K144"/>
    </sheetView>
  </sheetViews>
  <sheetFormatPr defaultColWidth="9" defaultRowHeight="15"/>
  <cols>
    <col min="1" max="1" width="7.140625" customWidth="1"/>
    <col min="2" max="2" width="7.140625" style="1" customWidth="1"/>
    <col min="3" max="3" width="51.5703125" customWidth="1"/>
    <col min="4" max="4" width="31" customWidth="1"/>
    <col min="5" max="5" width="39.28515625" customWidth="1"/>
    <col min="6" max="6" width="18.28515625" style="1" customWidth="1"/>
    <col min="7" max="7" width="14.5703125" style="1" customWidth="1"/>
    <col min="8" max="8" width="7.42578125" style="1" customWidth="1"/>
    <col min="9" max="9" width="9.85546875" style="1" customWidth="1"/>
    <col min="10" max="10" width="26.28515625" customWidth="1"/>
    <col min="11" max="11" width="35.140625" style="1" customWidth="1"/>
  </cols>
  <sheetData>
    <row r="1" spans="1:11" ht="18.75" thickBot="1">
      <c r="B1" s="113"/>
      <c r="C1" s="114" t="s">
        <v>403</v>
      </c>
      <c r="D1" s="115"/>
      <c r="F1" s="137">
        <f ca="1">G1-1</f>
        <v>46043.747614236112</v>
      </c>
      <c r="G1" s="9">
        <f ca="1">NOW()</f>
        <v>46044.747614236112</v>
      </c>
      <c r="H1" s="10"/>
      <c r="I1" s="11" t="str">
        <f ca="1">"Week"&amp;" "&amp;WEEKNUM(F1)</f>
        <v>Week 4</v>
      </c>
      <c r="J1" s="10"/>
      <c r="K1" s="115"/>
    </row>
    <row r="2" spans="1:11" ht="16.5" thickBot="1">
      <c r="B2" s="113" t="s">
        <v>0</v>
      </c>
      <c r="C2" s="116" t="s">
        <v>243</v>
      </c>
      <c r="D2" s="117" t="s">
        <v>244</v>
      </c>
      <c r="E2" s="117" t="s">
        <v>245</v>
      </c>
      <c r="F2" s="140" t="s">
        <v>246</v>
      </c>
      <c r="G2" s="118" t="s">
        <v>247</v>
      </c>
      <c r="H2" s="119" t="s">
        <v>248</v>
      </c>
      <c r="I2" s="119" t="s">
        <v>249</v>
      </c>
      <c r="J2" s="120" t="s">
        <v>250</v>
      </c>
      <c r="K2" s="121" t="s">
        <v>251</v>
      </c>
    </row>
    <row r="3" spans="1:11">
      <c r="A3" s="18"/>
      <c r="B3" s="113" t="s">
        <v>252</v>
      </c>
      <c r="C3" s="134" t="s">
        <v>253</v>
      </c>
      <c r="D3" s="122"/>
      <c r="E3" s="122"/>
      <c r="F3" s="127"/>
      <c r="G3" s="122"/>
      <c r="H3" s="122"/>
      <c r="I3" s="122"/>
      <c r="J3" s="122"/>
      <c r="K3" s="123"/>
    </row>
    <row r="4" spans="1:11" ht="15.75">
      <c r="A4" s="81" t="s">
        <v>0</v>
      </c>
      <c r="B4" s="107">
        <v>1</v>
      </c>
      <c r="C4" s="124" t="s">
        <v>254</v>
      </c>
      <c r="D4" s="125">
        <v>2123</v>
      </c>
      <c r="E4" s="138">
        <f>D4/9</f>
        <v>235.88888888888889</v>
      </c>
      <c r="F4" s="57">
        <f>(7*25)+17.2</f>
        <v>192.2</v>
      </c>
      <c r="G4" s="139"/>
      <c r="H4" s="125">
        <f>F4+G4</f>
        <v>192.2</v>
      </c>
      <c r="I4" s="125">
        <f t="shared" ref="I4:I50" si="0">H4/E4</f>
        <v>0.81479039095619399</v>
      </c>
      <c r="J4" s="125" t="s">
        <v>255</v>
      </c>
      <c r="K4" s="125"/>
    </row>
    <row r="5" spans="1:11" ht="15.75">
      <c r="A5" s="71">
        <v>1</v>
      </c>
      <c r="B5" s="107">
        <f>B4+1</f>
        <v>2</v>
      </c>
      <c r="C5" s="124" t="s">
        <v>257</v>
      </c>
      <c r="D5" s="125">
        <v>352</v>
      </c>
      <c r="E5" s="138">
        <f t="shared" ref="E5:E50" si="1">D5/9</f>
        <v>39.111111111111114</v>
      </c>
      <c r="F5" s="126">
        <f>180.4</f>
        <v>180.4</v>
      </c>
      <c r="G5" s="139"/>
      <c r="H5" s="125">
        <f t="shared" ref="H5:H50" si="2">F5+G5</f>
        <v>180.4</v>
      </c>
      <c r="I5" s="125">
        <f t="shared" si="0"/>
        <v>4.6124999999999998</v>
      </c>
      <c r="J5" s="125" t="s">
        <v>258</v>
      </c>
      <c r="K5" s="125"/>
    </row>
    <row r="6" spans="1:11" ht="15.75">
      <c r="A6" s="15">
        <f t="shared" ref="A6:B31" si="3">A5+1</f>
        <v>2</v>
      </c>
      <c r="B6" s="107">
        <f t="shared" si="3"/>
        <v>3</v>
      </c>
      <c r="C6" s="124" t="s">
        <v>259</v>
      </c>
      <c r="D6" s="125">
        <v>1854</v>
      </c>
      <c r="E6" s="138">
        <f t="shared" si="1"/>
        <v>206</v>
      </c>
      <c r="F6" s="126">
        <f>(3*9*25)+13.75</f>
        <v>688.75</v>
      </c>
      <c r="G6" s="139"/>
      <c r="H6" s="125">
        <f t="shared" si="2"/>
        <v>688.75</v>
      </c>
      <c r="I6" s="125">
        <f t="shared" si="0"/>
        <v>3.3434466019417477</v>
      </c>
      <c r="J6" s="125" t="s">
        <v>258</v>
      </c>
      <c r="K6" s="125"/>
    </row>
    <row r="7" spans="1:11" ht="15.75">
      <c r="A7" s="15">
        <f t="shared" si="3"/>
        <v>3</v>
      </c>
      <c r="B7" s="107">
        <f t="shared" si="3"/>
        <v>4</v>
      </c>
      <c r="C7" s="124" t="s">
        <v>260</v>
      </c>
      <c r="D7" s="125">
        <v>320</v>
      </c>
      <c r="E7" s="138">
        <f t="shared" si="1"/>
        <v>35.555555555555557</v>
      </c>
      <c r="F7" s="126">
        <f>21.25</f>
        <v>21.25</v>
      </c>
      <c r="G7" s="139"/>
      <c r="H7" s="125">
        <f t="shared" si="2"/>
        <v>21.25</v>
      </c>
      <c r="I7" s="125">
        <f t="shared" si="0"/>
        <v>0.59765625</v>
      </c>
      <c r="J7" s="125"/>
      <c r="K7" s="125"/>
    </row>
    <row r="8" spans="1:11" s="79" customFormat="1" ht="15.75">
      <c r="A8" s="85">
        <f t="shared" si="3"/>
        <v>4</v>
      </c>
      <c r="B8" s="107">
        <f t="shared" si="3"/>
        <v>5</v>
      </c>
      <c r="C8" s="124" t="s">
        <v>261</v>
      </c>
      <c r="D8" s="125">
        <v>154</v>
      </c>
      <c r="E8" s="138">
        <f t="shared" si="1"/>
        <v>17.111111111111111</v>
      </c>
      <c r="F8" s="126">
        <f>8.7</f>
        <v>8.6999999999999993</v>
      </c>
      <c r="G8" s="139"/>
      <c r="H8" s="125">
        <f t="shared" si="2"/>
        <v>8.6999999999999993</v>
      </c>
      <c r="I8" s="125">
        <f t="shared" si="0"/>
        <v>0.50844155844155836</v>
      </c>
      <c r="J8" s="125" t="s">
        <v>255</v>
      </c>
      <c r="K8" s="125" t="s">
        <v>256</v>
      </c>
    </row>
    <row r="9" spans="1:11" ht="15.75">
      <c r="A9" s="15">
        <f t="shared" si="3"/>
        <v>5</v>
      </c>
      <c r="B9" s="107">
        <f t="shared" si="3"/>
        <v>6</v>
      </c>
      <c r="C9" s="124" t="s">
        <v>262</v>
      </c>
      <c r="D9" s="125">
        <v>983.3664</v>
      </c>
      <c r="E9" s="138">
        <f t="shared" si="1"/>
        <v>109.26293333333334</v>
      </c>
      <c r="F9" s="10">
        <v>4.5999999999999996</v>
      </c>
      <c r="G9" s="139"/>
      <c r="H9" s="125">
        <f t="shared" si="2"/>
        <v>4.5999999999999996</v>
      </c>
      <c r="I9" s="125">
        <f t="shared" si="0"/>
        <v>4.2100279204170483E-2</v>
      </c>
      <c r="J9" s="125"/>
      <c r="K9" s="125" t="s">
        <v>256</v>
      </c>
    </row>
    <row r="10" spans="1:11" ht="15.75">
      <c r="A10" s="15">
        <f t="shared" si="3"/>
        <v>6</v>
      </c>
      <c r="B10" s="107">
        <f t="shared" si="3"/>
        <v>7</v>
      </c>
      <c r="C10" s="124" t="s">
        <v>263</v>
      </c>
      <c r="D10" s="125">
        <v>1841</v>
      </c>
      <c r="E10" s="138">
        <f t="shared" si="1"/>
        <v>204.55555555555554</v>
      </c>
      <c r="F10" s="126">
        <f>(7*16.18)+12.55</f>
        <v>125.80999999999999</v>
      </c>
      <c r="G10" s="139"/>
      <c r="H10" s="125">
        <f t="shared" si="2"/>
        <v>125.80999999999999</v>
      </c>
      <c r="I10" s="125">
        <f t="shared" si="0"/>
        <v>0.6150407387289516</v>
      </c>
      <c r="J10" s="125" t="s">
        <v>255</v>
      </c>
      <c r="K10" s="125"/>
    </row>
    <row r="11" spans="1:11" ht="15.75">
      <c r="A11" s="15">
        <f t="shared" si="3"/>
        <v>7</v>
      </c>
      <c r="B11" s="107">
        <f t="shared" si="3"/>
        <v>8</v>
      </c>
      <c r="C11" s="124" t="s">
        <v>264</v>
      </c>
      <c r="D11" s="125">
        <v>1225</v>
      </c>
      <c r="E11" s="138">
        <f t="shared" si="1"/>
        <v>136.11111111111111</v>
      </c>
      <c r="F11" s="126">
        <f>(5*25)+4.95</f>
        <v>129.94999999999999</v>
      </c>
      <c r="G11" s="139"/>
      <c r="H11" s="125">
        <f t="shared" si="2"/>
        <v>129.94999999999999</v>
      </c>
      <c r="I11" s="125">
        <f t="shared" si="0"/>
        <v>0.95473469387755094</v>
      </c>
      <c r="J11" s="125" t="s">
        <v>258</v>
      </c>
      <c r="K11" s="125"/>
    </row>
    <row r="12" spans="1:11" ht="15.75">
      <c r="A12" s="15">
        <f t="shared" si="3"/>
        <v>8</v>
      </c>
      <c r="B12" s="107">
        <f t="shared" si="3"/>
        <v>9</v>
      </c>
      <c r="C12" s="124" t="s">
        <v>265</v>
      </c>
      <c r="D12" s="125">
        <v>1555</v>
      </c>
      <c r="E12" s="138">
        <f t="shared" si="1"/>
        <v>172.77777777777777</v>
      </c>
      <c r="F12" s="126">
        <f>(11*25)+6</f>
        <v>281</v>
      </c>
      <c r="G12" s="139"/>
      <c r="H12" s="125">
        <f t="shared" si="2"/>
        <v>281</v>
      </c>
      <c r="I12" s="125">
        <f t="shared" si="0"/>
        <v>1.6263665594855305</v>
      </c>
      <c r="J12" s="125" t="s">
        <v>258</v>
      </c>
      <c r="K12" s="125"/>
    </row>
    <row r="13" spans="1:11" ht="15.75">
      <c r="A13" s="15"/>
      <c r="B13" s="107">
        <f t="shared" si="3"/>
        <v>10</v>
      </c>
      <c r="C13" s="124" t="s">
        <v>266</v>
      </c>
      <c r="D13" s="125">
        <v>3673</v>
      </c>
      <c r="E13" s="138">
        <f t="shared" si="1"/>
        <v>408.11111111111109</v>
      </c>
      <c r="F13" s="126">
        <f>(15*12)+1.7</f>
        <v>181.7</v>
      </c>
      <c r="G13" s="139"/>
      <c r="H13" s="125">
        <f t="shared" si="2"/>
        <v>181.7</v>
      </c>
      <c r="I13" s="125">
        <f t="shared" si="0"/>
        <v>0.44522188946365371</v>
      </c>
      <c r="J13" s="125" t="s">
        <v>255</v>
      </c>
      <c r="K13" s="125"/>
    </row>
    <row r="14" spans="1:11" ht="15.75">
      <c r="A14" s="15">
        <f>A12+1</f>
        <v>9</v>
      </c>
      <c r="B14" s="107">
        <f t="shared" si="3"/>
        <v>11</v>
      </c>
      <c r="C14" s="124" t="s">
        <v>267</v>
      </c>
      <c r="D14" s="125">
        <v>669.3768</v>
      </c>
      <c r="E14" s="138">
        <f t="shared" si="1"/>
        <v>74.375200000000007</v>
      </c>
      <c r="F14" s="126">
        <f>19.75</f>
        <v>19.75</v>
      </c>
      <c r="G14" s="139"/>
      <c r="H14" s="125">
        <f t="shared" si="2"/>
        <v>19.75</v>
      </c>
      <c r="I14" s="125">
        <f t="shared" si="0"/>
        <v>0.26554550441545027</v>
      </c>
      <c r="J14" s="125" t="s">
        <v>255</v>
      </c>
      <c r="K14" s="125" t="s">
        <v>256</v>
      </c>
    </row>
    <row r="15" spans="1:11" s="79" customFormat="1" ht="15.75">
      <c r="A15" s="85">
        <f t="shared" si="3"/>
        <v>10</v>
      </c>
      <c r="B15" s="107">
        <f t="shared" si="3"/>
        <v>12</v>
      </c>
      <c r="C15" s="124" t="s">
        <v>268</v>
      </c>
      <c r="D15" s="125">
        <v>3518</v>
      </c>
      <c r="E15" s="138">
        <f t="shared" si="1"/>
        <v>390.88888888888891</v>
      </c>
      <c r="F15" s="126">
        <f>735.65</f>
        <v>735.65</v>
      </c>
      <c r="G15" s="139"/>
      <c r="H15" s="125">
        <f t="shared" si="2"/>
        <v>735.65</v>
      </c>
      <c r="I15" s="125">
        <f t="shared" si="0"/>
        <v>1.8819926094371799</v>
      </c>
      <c r="J15" s="125" t="s">
        <v>255</v>
      </c>
      <c r="K15" s="125"/>
    </row>
    <row r="16" spans="1:11" ht="15.75">
      <c r="A16" s="15">
        <f t="shared" si="3"/>
        <v>11</v>
      </c>
      <c r="B16" s="107">
        <f t="shared" si="3"/>
        <v>13</v>
      </c>
      <c r="C16" s="124" t="s">
        <v>269</v>
      </c>
      <c r="D16" s="125">
        <v>3245</v>
      </c>
      <c r="E16" s="138">
        <f t="shared" si="1"/>
        <v>360.55555555555554</v>
      </c>
      <c r="F16" s="10">
        <v>10.1</v>
      </c>
      <c r="G16" s="139"/>
      <c r="H16" s="125">
        <f t="shared" si="2"/>
        <v>10.1</v>
      </c>
      <c r="I16" s="125">
        <f t="shared" si="0"/>
        <v>2.8012326656394453E-2</v>
      </c>
      <c r="J16" s="125" t="s">
        <v>255</v>
      </c>
      <c r="K16" s="125" t="s">
        <v>256</v>
      </c>
    </row>
    <row r="17" spans="1:11" ht="15.75">
      <c r="A17" s="15">
        <f t="shared" si="3"/>
        <v>12</v>
      </c>
      <c r="B17" s="107">
        <f t="shared" si="3"/>
        <v>14</v>
      </c>
      <c r="C17" s="124" t="s">
        <v>270</v>
      </c>
      <c r="D17" s="125">
        <v>76.628832000000003</v>
      </c>
      <c r="E17" s="138">
        <f t="shared" si="1"/>
        <v>8.5143146666666674</v>
      </c>
      <c r="F17" s="10">
        <f>17.5</f>
        <v>17.5</v>
      </c>
      <c r="G17" s="139"/>
      <c r="H17" s="125">
        <f t="shared" si="2"/>
        <v>17.5</v>
      </c>
      <c r="I17" s="125">
        <f t="shared" si="0"/>
        <v>2.0553621383658829</v>
      </c>
      <c r="J17" s="125"/>
      <c r="K17" s="125"/>
    </row>
    <row r="18" spans="1:11" ht="15.75">
      <c r="A18" s="15">
        <f t="shared" si="3"/>
        <v>13</v>
      </c>
      <c r="B18" s="107">
        <f t="shared" si="3"/>
        <v>15</v>
      </c>
      <c r="C18" s="124" t="s">
        <v>271</v>
      </c>
      <c r="D18" s="125">
        <v>2622.24</v>
      </c>
      <c r="E18" s="138">
        <f t="shared" si="1"/>
        <v>291.35999999999996</v>
      </c>
      <c r="F18" s="126">
        <f>3.3-2.4</f>
        <v>0.89999999999999991</v>
      </c>
      <c r="G18" s="139"/>
      <c r="H18" s="125">
        <f t="shared" si="2"/>
        <v>0.89999999999999991</v>
      </c>
      <c r="I18" s="125">
        <f t="shared" si="0"/>
        <v>3.0889621087314663E-3</v>
      </c>
      <c r="J18" s="125" t="s">
        <v>255</v>
      </c>
      <c r="K18" s="125" t="s">
        <v>256</v>
      </c>
    </row>
    <row r="19" spans="1:11" ht="15.75">
      <c r="A19" s="15">
        <f t="shared" si="3"/>
        <v>14</v>
      </c>
      <c r="B19" s="107">
        <f t="shared" si="3"/>
        <v>16</v>
      </c>
      <c r="C19" s="124" t="s">
        <v>272</v>
      </c>
      <c r="D19" s="125">
        <v>114</v>
      </c>
      <c r="E19" s="138">
        <f t="shared" si="1"/>
        <v>12.666666666666666</v>
      </c>
      <c r="F19" s="125">
        <v>0</v>
      </c>
      <c r="G19" s="139"/>
      <c r="H19" s="125">
        <f t="shared" si="2"/>
        <v>0</v>
      </c>
      <c r="I19" s="125">
        <f t="shared" si="0"/>
        <v>0</v>
      </c>
      <c r="J19" s="125"/>
      <c r="K19" s="125"/>
    </row>
    <row r="20" spans="1:11" ht="15.75">
      <c r="A20" s="15">
        <f t="shared" si="3"/>
        <v>15</v>
      </c>
      <c r="B20" s="107">
        <f t="shared" si="3"/>
        <v>17</v>
      </c>
      <c r="C20" s="124" t="s">
        <v>273</v>
      </c>
      <c r="D20" s="125"/>
      <c r="E20" s="138">
        <f t="shared" si="1"/>
        <v>0</v>
      </c>
      <c r="F20" s="10">
        <f>150.8+36.9</f>
        <v>187.70000000000002</v>
      </c>
      <c r="G20" s="139"/>
      <c r="H20" s="125">
        <f t="shared" si="2"/>
        <v>187.70000000000002</v>
      </c>
      <c r="I20" s="125" t="e">
        <f t="shared" si="0"/>
        <v>#DIV/0!</v>
      </c>
      <c r="J20" s="125" t="s">
        <v>274</v>
      </c>
      <c r="K20" s="125"/>
    </row>
    <row r="21" spans="1:11" ht="15.75">
      <c r="A21" s="15">
        <f t="shared" si="3"/>
        <v>16</v>
      </c>
      <c r="B21" s="107">
        <f t="shared" si="3"/>
        <v>18</v>
      </c>
      <c r="C21" s="124" t="s">
        <v>275</v>
      </c>
      <c r="D21" s="125"/>
      <c r="E21" s="138">
        <f t="shared" si="1"/>
        <v>0</v>
      </c>
      <c r="F21" s="10">
        <f>37.85</f>
        <v>37.85</v>
      </c>
      <c r="G21" s="139"/>
      <c r="H21" s="125">
        <f t="shared" si="2"/>
        <v>37.85</v>
      </c>
      <c r="I21" s="125" t="e">
        <f t="shared" si="0"/>
        <v>#DIV/0!</v>
      </c>
      <c r="J21" s="125"/>
      <c r="K21" s="125"/>
    </row>
    <row r="22" spans="1:11" ht="15.75">
      <c r="A22" s="15">
        <f t="shared" si="3"/>
        <v>17</v>
      </c>
      <c r="B22" s="107">
        <f t="shared" si="3"/>
        <v>19</v>
      </c>
      <c r="C22" s="37" t="s">
        <v>276</v>
      </c>
      <c r="D22" s="125"/>
      <c r="E22" s="138">
        <f t="shared" si="1"/>
        <v>0</v>
      </c>
      <c r="F22" s="10">
        <v>0.09</v>
      </c>
      <c r="G22" s="139"/>
      <c r="H22" s="125">
        <f t="shared" si="2"/>
        <v>0.09</v>
      </c>
      <c r="I22" s="125" t="e">
        <f t="shared" si="0"/>
        <v>#DIV/0!</v>
      </c>
      <c r="J22" s="125"/>
      <c r="K22" s="125"/>
    </row>
    <row r="23" spans="1:11" ht="15.75">
      <c r="A23" s="15">
        <f t="shared" si="3"/>
        <v>18</v>
      </c>
      <c r="B23" s="107">
        <f t="shared" si="3"/>
        <v>20</v>
      </c>
      <c r="C23" s="124" t="s">
        <v>277</v>
      </c>
      <c r="D23" s="125"/>
      <c r="E23" s="138">
        <f t="shared" si="1"/>
        <v>0</v>
      </c>
      <c r="F23" s="10">
        <f>37.6</f>
        <v>37.6</v>
      </c>
      <c r="G23" s="139"/>
      <c r="H23" s="125">
        <f t="shared" si="2"/>
        <v>37.6</v>
      </c>
      <c r="I23" s="125" t="e">
        <f t="shared" si="0"/>
        <v>#DIV/0!</v>
      </c>
      <c r="J23" s="125"/>
      <c r="K23" s="125"/>
    </row>
    <row r="24" spans="1:11" ht="15.75">
      <c r="A24" s="15">
        <f t="shared" si="3"/>
        <v>19</v>
      </c>
      <c r="B24" s="107">
        <f t="shared" si="3"/>
        <v>21</v>
      </c>
      <c r="C24" s="124" t="s">
        <v>278</v>
      </c>
      <c r="D24" s="125"/>
      <c r="E24" s="138">
        <f t="shared" si="1"/>
        <v>0</v>
      </c>
      <c r="F24" s="10">
        <f>2.5</f>
        <v>2.5</v>
      </c>
      <c r="G24" s="139"/>
      <c r="H24" s="125">
        <f t="shared" si="2"/>
        <v>2.5</v>
      </c>
      <c r="I24" s="125" t="e">
        <f t="shared" si="0"/>
        <v>#DIV/0!</v>
      </c>
      <c r="J24" s="125"/>
      <c r="K24" s="125"/>
    </row>
    <row r="25" spans="1:11" ht="15.75">
      <c r="A25" s="15">
        <f t="shared" si="3"/>
        <v>20</v>
      </c>
      <c r="B25" s="107">
        <f t="shared" si="3"/>
        <v>22</v>
      </c>
      <c r="C25" s="124" t="s">
        <v>279</v>
      </c>
      <c r="D25" s="125"/>
      <c r="E25" s="138">
        <f t="shared" si="1"/>
        <v>0</v>
      </c>
      <c r="F25" s="10">
        <f>22</f>
        <v>22</v>
      </c>
      <c r="G25" s="139"/>
      <c r="H25" s="125">
        <f t="shared" si="2"/>
        <v>22</v>
      </c>
      <c r="I25" s="125" t="e">
        <f t="shared" si="0"/>
        <v>#DIV/0!</v>
      </c>
      <c r="J25" s="125"/>
      <c r="K25" s="125"/>
    </row>
    <row r="26" spans="1:11" ht="15.75">
      <c r="A26" s="15">
        <f t="shared" si="3"/>
        <v>21</v>
      </c>
      <c r="B26" s="107">
        <f t="shared" si="3"/>
        <v>23</v>
      </c>
      <c r="C26" s="124" t="s">
        <v>280</v>
      </c>
      <c r="D26" s="125"/>
      <c r="E26" s="138">
        <f t="shared" si="1"/>
        <v>0</v>
      </c>
      <c r="F26" s="10">
        <f>84.6+40</f>
        <v>124.6</v>
      </c>
      <c r="G26" s="139"/>
      <c r="H26" s="125">
        <f t="shared" si="2"/>
        <v>124.6</v>
      </c>
      <c r="I26" s="125" t="e">
        <f t="shared" si="0"/>
        <v>#DIV/0!</v>
      </c>
      <c r="J26" s="125"/>
      <c r="K26" s="125"/>
    </row>
    <row r="27" spans="1:11" ht="15.75">
      <c r="A27" s="15"/>
      <c r="B27" s="107">
        <f t="shared" si="3"/>
        <v>24</v>
      </c>
      <c r="C27" s="124" t="s">
        <v>281</v>
      </c>
      <c r="D27" s="125"/>
      <c r="E27" s="138">
        <f t="shared" si="1"/>
        <v>0</v>
      </c>
      <c r="F27" s="10">
        <f>21.6</f>
        <v>21.6</v>
      </c>
      <c r="G27" s="139"/>
      <c r="H27" s="125">
        <f t="shared" si="2"/>
        <v>21.6</v>
      </c>
      <c r="I27" s="125" t="e">
        <f t="shared" si="0"/>
        <v>#DIV/0!</v>
      </c>
      <c r="J27" s="125"/>
      <c r="K27" s="125"/>
    </row>
    <row r="28" spans="1:11" ht="15.75">
      <c r="A28" s="15">
        <f>A26+1</f>
        <v>22</v>
      </c>
      <c r="B28" s="107">
        <f t="shared" si="3"/>
        <v>25</v>
      </c>
      <c r="C28" s="124" t="s">
        <v>282</v>
      </c>
      <c r="D28" s="125"/>
      <c r="E28" s="138">
        <f t="shared" si="1"/>
        <v>0</v>
      </c>
      <c r="F28" s="10">
        <f>11.95</f>
        <v>11.95</v>
      </c>
      <c r="G28" s="139"/>
      <c r="H28" s="125">
        <f t="shared" si="2"/>
        <v>11.95</v>
      </c>
      <c r="I28" s="125" t="e">
        <f t="shared" si="0"/>
        <v>#DIV/0!</v>
      </c>
      <c r="J28" s="125"/>
      <c r="K28" s="125"/>
    </row>
    <row r="29" spans="1:11" ht="15.75">
      <c r="A29" s="15">
        <f t="shared" si="3"/>
        <v>23</v>
      </c>
      <c r="B29" s="107">
        <f t="shared" si="3"/>
        <v>26</v>
      </c>
      <c r="C29" s="124" t="s">
        <v>283</v>
      </c>
      <c r="D29" s="125"/>
      <c r="E29" s="138">
        <f t="shared" si="1"/>
        <v>0</v>
      </c>
      <c r="F29" s="135">
        <f>24.45+100</f>
        <v>124.45</v>
      </c>
      <c r="G29" s="139"/>
      <c r="H29" s="125">
        <f t="shared" si="2"/>
        <v>124.45</v>
      </c>
      <c r="I29" s="125" t="e">
        <f t="shared" si="0"/>
        <v>#DIV/0!</v>
      </c>
      <c r="J29" s="125"/>
      <c r="K29" s="125"/>
    </row>
    <row r="30" spans="1:11" ht="15.75">
      <c r="A30" s="15">
        <f t="shared" si="3"/>
        <v>24</v>
      </c>
      <c r="B30" s="107">
        <f t="shared" si="3"/>
        <v>27</v>
      </c>
      <c r="C30" s="124" t="s">
        <v>284</v>
      </c>
      <c r="D30" s="125"/>
      <c r="E30" s="138">
        <f t="shared" si="1"/>
        <v>0</v>
      </c>
      <c r="F30" s="10">
        <f>400+132.05</f>
        <v>532.04999999999995</v>
      </c>
      <c r="G30" s="139"/>
      <c r="H30" s="125">
        <f t="shared" si="2"/>
        <v>532.04999999999995</v>
      </c>
      <c r="I30" s="125" t="e">
        <f t="shared" si="0"/>
        <v>#DIV/0!</v>
      </c>
      <c r="J30" s="125" t="s">
        <v>285</v>
      </c>
      <c r="K30" s="125"/>
    </row>
    <row r="31" spans="1:11" ht="15.75">
      <c r="A31" s="15">
        <f t="shared" si="3"/>
        <v>25</v>
      </c>
      <c r="B31" s="107">
        <f t="shared" si="3"/>
        <v>28</v>
      </c>
      <c r="C31" s="124" t="s">
        <v>286</v>
      </c>
      <c r="D31" s="125"/>
      <c r="E31" s="138">
        <f t="shared" si="1"/>
        <v>0</v>
      </c>
      <c r="F31" s="10">
        <f>121.1</f>
        <v>121.1</v>
      </c>
      <c r="G31" s="139"/>
      <c r="H31" s="125">
        <f t="shared" si="2"/>
        <v>121.1</v>
      </c>
      <c r="I31" s="125" t="e">
        <f t="shared" si="0"/>
        <v>#DIV/0!</v>
      </c>
      <c r="J31" s="125" t="s">
        <v>285</v>
      </c>
      <c r="K31" s="125"/>
    </row>
    <row r="32" spans="1:11" ht="15.75">
      <c r="B32" s="107">
        <f t="shared" ref="B32:B47" si="4">B31+1</f>
        <v>29</v>
      </c>
      <c r="C32" s="124" t="s">
        <v>287</v>
      </c>
      <c r="D32" s="125"/>
      <c r="E32" s="138">
        <f t="shared" si="1"/>
        <v>0</v>
      </c>
      <c r="F32" s="10">
        <v>0.65</v>
      </c>
      <c r="G32" s="139"/>
      <c r="H32" s="125">
        <f t="shared" si="2"/>
        <v>0.65</v>
      </c>
      <c r="I32" s="125" t="e">
        <f t="shared" si="0"/>
        <v>#DIV/0!</v>
      </c>
      <c r="J32" s="125"/>
      <c r="K32" s="125"/>
    </row>
    <row r="33" spans="2:11" ht="15.75">
      <c r="B33" s="107">
        <f t="shared" si="4"/>
        <v>30</v>
      </c>
      <c r="C33" s="124" t="s">
        <v>288</v>
      </c>
      <c r="D33" s="125"/>
      <c r="E33" s="138">
        <f t="shared" si="1"/>
        <v>0</v>
      </c>
      <c r="F33" s="10">
        <f>19.05</f>
        <v>19.05</v>
      </c>
      <c r="G33" s="139"/>
      <c r="H33" s="125">
        <f t="shared" si="2"/>
        <v>19.05</v>
      </c>
      <c r="I33" s="125" t="e">
        <f t="shared" si="0"/>
        <v>#DIV/0!</v>
      </c>
      <c r="J33" s="125"/>
      <c r="K33" s="125" t="s">
        <v>256</v>
      </c>
    </row>
    <row r="34" spans="2:11" ht="15.75">
      <c r="B34" s="107">
        <f t="shared" si="4"/>
        <v>31</v>
      </c>
      <c r="C34" s="124" t="s">
        <v>289</v>
      </c>
      <c r="D34" s="125"/>
      <c r="E34" s="138">
        <f t="shared" si="1"/>
        <v>0</v>
      </c>
      <c r="F34" s="10"/>
      <c r="G34" s="139"/>
      <c r="H34" s="125">
        <f t="shared" si="2"/>
        <v>0</v>
      </c>
      <c r="I34" s="125" t="e">
        <f t="shared" si="0"/>
        <v>#DIV/0!</v>
      </c>
      <c r="J34" s="125"/>
      <c r="K34" s="125" t="s">
        <v>256</v>
      </c>
    </row>
    <row r="35" spans="2:11" ht="15.75">
      <c r="B35" s="107">
        <f t="shared" si="4"/>
        <v>32</v>
      </c>
      <c r="C35" s="124" t="s">
        <v>290</v>
      </c>
      <c r="D35" s="125"/>
      <c r="E35" s="138">
        <f t="shared" si="1"/>
        <v>0</v>
      </c>
      <c r="F35" s="10">
        <f>5+25</f>
        <v>30</v>
      </c>
      <c r="G35" s="139"/>
      <c r="H35" s="125">
        <f t="shared" si="2"/>
        <v>30</v>
      </c>
      <c r="I35" s="125" t="e">
        <f t="shared" si="0"/>
        <v>#DIV/0!</v>
      </c>
      <c r="J35" s="125"/>
      <c r="K35" s="125"/>
    </row>
    <row r="36" spans="2:11" ht="15.75">
      <c r="B36" s="107">
        <f t="shared" si="4"/>
        <v>33</v>
      </c>
      <c r="C36" s="124" t="s">
        <v>291</v>
      </c>
      <c r="D36" s="125"/>
      <c r="E36" s="138">
        <f t="shared" si="1"/>
        <v>0</v>
      </c>
      <c r="F36" s="10">
        <v>0</v>
      </c>
      <c r="G36" s="139"/>
      <c r="H36" s="125">
        <f t="shared" si="2"/>
        <v>0</v>
      </c>
      <c r="I36" s="125" t="e">
        <f t="shared" si="0"/>
        <v>#DIV/0!</v>
      </c>
      <c r="J36" s="125"/>
      <c r="K36" s="125"/>
    </row>
    <row r="37" spans="2:11" ht="15.75">
      <c r="B37" s="107">
        <f t="shared" si="4"/>
        <v>34</v>
      </c>
      <c r="C37" s="124" t="s">
        <v>292</v>
      </c>
      <c r="D37" s="125"/>
      <c r="E37" s="138">
        <f t="shared" si="1"/>
        <v>0</v>
      </c>
      <c r="F37" s="10">
        <f>23.35</f>
        <v>23.35</v>
      </c>
      <c r="G37" s="139"/>
      <c r="H37" s="125">
        <f t="shared" si="2"/>
        <v>23.35</v>
      </c>
      <c r="I37" s="125" t="e">
        <f t="shared" si="0"/>
        <v>#DIV/0!</v>
      </c>
      <c r="J37" s="125"/>
      <c r="K37" s="125"/>
    </row>
    <row r="38" spans="2:11" ht="15.75">
      <c r="B38" s="107">
        <f t="shared" si="4"/>
        <v>35</v>
      </c>
      <c r="C38" s="124" t="s">
        <v>293</v>
      </c>
      <c r="D38" s="125"/>
      <c r="E38" s="138">
        <f t="shared" si="1"/>
        <v>0</v>
      </c>
      <c r="F38" s="10">
        <v>25</v>
      </c>
      <c r="G38" s="139"/>
      <c r="H38" s="125">
        <f t="shared" si="2"/>
        <v>25</v>
      </c>
      <c r="I38" s="125" t="e">
        <f t="shared" si="0"/>
        <v>#DIV/0!</v>
      </c>
      <c r="J38" s="125" t="s">
        <v>285</v>
      </c>
      <c r="K38" s="125"/>
    </row>
    <row r="39" spans="2:11" ht="15.75">
      <c r="B39" s="107">
        <f t="shared" si="4"/>
        <v>36</v>
      </c>
      <c r="C39" s="124" t="s">
        <v>294</v>
      </c>
      <c r="D39" s="125"/>
      <c r="E39" s="138">
        <f t="shared" si="1"/>
        <v>0</v>
      </c>
      <c r="F39" s="10">
        <f>24.4</f>
        <v>24.4</v>
      </c>
      <c r="G39" s="139"/>
      <c r="H39" s="125">
        <f t="shared" si="2"/>
        <v>24.4</v>
      </c>
      <c r="I39" s="125" t="e">
        <f t="shared" si="0"/>
        <v>#DIV/0!</v>
      </c>
      <c r="J39" s="125"/>
      <c r="K39" s="125"/>
    </row>
    <row r="40" spans="2:11" ht="15.75">
      <c r="B40" s="107">
        <f t="shared" si="4"/>
        <v>37</v>
      </c>
      <c r="C40" s="124" t="s">
        <v>295</v>
      </c>
      <c r="D40" s="125"/>
      <c r="E40" s="138">
        <f t="shared" si="1"/>
        <v>0</v>
      </c>
      <c r="F40" s="10">
        <v>10.1</v>
      </c>
      <c r="G40" s="139"/>
      <c r="H40" s="125">
        <f t="shared" si="2"/>
        <v>10.1</v>
      </c>
      <c r="I40" s="125" t="e">
        <f t="shared" si="0"/>
        <v>#DIV/0!</v>
      </c>
      <c r="J40" s="125"/>
      <c r="K40" s="125" t="s">
        <v>256</v>
      </c>
    </row>
    <row r="41" spans="2:11" ht="15.75">
      <c r="B41" s="107">
        <f t="shared" si="4"/>
        <v>38</v>
      </c>
      <c r="C41" s="124" t="s">
        <v>296</v>
      </c>
      <c r="D41" s="125"/>
      <c r="E41" s="138">
        <f t="shared" si="1"/>
        <v>0</v>
      </c>
      <c r="F41" s="10">
        <f>15.95</f>
        <v>15.95</v>
      </c>
      <c r="G41" s="139"/>
      <c r="H41" s="125">
        <f t="shared" si="2"/>
        <v>15.95</v>
      </c>
      <c r="I41" s="125" t="e">
        <f t="shared" si="0"/>
        <v>#DIV/0!</v>
      </c>
      <c r="J41" s="125"/>
      <c r="K41" s="125"/>
    </row>
    <row r="42" spans="2:11" ht="15.75">
      <c r="B42" s="107">
        <f t="shared" si="4"/>
        <v>39</v>
      </c>
      <c r="C42" s="124" t="s">
        <v>297</v>
      </c>
      <c r="D42" s="125"/>
      <c r="E42" s="138">
        <f t="shared" si="1"/>
        <v>0</v>
      </c>
      <c r="F42" s="10">
        <f>48.5</f>
        <v>48.5</v>
      </c>
      <c r="G42" s="139"/>
      <c r="H42" s="125">
        <f t="shared" si="2"/>
        <v>48.5</v>
      </c>
      <c r="I42" s="125" t="e">
        <f t="shared" si="0"/>
        <v>#DIV/0!</v>
      </c>
      <c r="J42" s="125"/>
      <c r="K42" s="125"/>
    </row>
    <row r="43" spans="2:11" ht="15.75">
      <c r="B43" s="107">
        <f t="shared" si="4"/>
        <v>40</v>
      </c>
      <c r="C43" s="124" t="s">
        <v>298</v>
      </c>
      <c r="D43" s="125"/>
      <c r="E43" s="138">
        <f t="shared" si="1"/>
        <v>0</v>
      </c>
      <c r="F43" s="10">
        <v>25</v>
      </c>
      <c r="G43" s="139"/>
      <c r="H43" s="125">
        <f t="shared" si="2"/>
        <v>25</v>
      </c>
      <c r="I43" s="125" t="e">
        <f t="shared" si="0"/>
        <v>#DIV/0!</v>
      </c>
      <c r="J43" s="125" t="s">
        <v>285</v>
      </c>
      <c r="K43" s="125"/>
    </row>
    <row r="44" spans="2:11" ht="15.75">
      <c r="B44" s="107">
        <f t="shared" si="4"/>
        <v>41</v>
      </c>
      <c r="C44" s="124" t="s">
        <v>299</v>
      </c>
      <c r="D44" s="125"/>
      <c r="E44" s="138">
        <f t="shared" si="1"/>
        <v>0</v>
      </c>
      <c r="F44" s="10">
        <v>100</v>
      </c>
      <c r="G44" s="139"/>
      <c r="H44" s="125">
        <f t="shared" si="2"/>
        <v>100</v>
      </c>
      <c r="I44" s="125" t="e">
        <f t="shared" si="0"/>
        <v>#DIV/0!</v>
      </c>
      <c r="J44" s="125" t="s">
        <v>285</v>
      </c>
      <c r="K44" s="125"/>
    </row>
    <row r="45" spans="2:11" ht="15.75">
      <c r="B45" s="107">
        <f t="shared" si="4"/>
        <v>42</v>
      </c>
      <c r="C45" s="124" t="s">
        <v>300</v>
      </c>
      <c r="D45" s="125"/>
      <c r="E45" s="138">
        <f t="shared" si="1"/>
        <v>0</v>
      </c>
      <c r="F45" s="10">
        <v>50</v>
      </c>
      <c r="G45" s="139"/>
      <c r="H45" s="125">
        <f t="shared" si="2"/>
        <v>50</v>
      </c>
      <c r="I45" s="125" t="e">
        <f t="shared" si="0"/>
        <v>#DIV/0!</v>
      </c>
      <c r="J45" s="125" t="s">
        <v>285</v>
      </c>
      <c r="K45" s="125"/>
    </row>
    <row r="46" spans="2:11" ht="15.75">
      <c r="B46" s="107">
        <f t="shared" si="4"/>
        <v>43</v>
      </c>
      <c r="C46" s="124" t="s">
        <v>301</v>
      </c>
      <c r="D46" s="125"/>
      <c r="E46" s="138">
        <f t="shared" si="1"/>
        <v>0</v>
      </c>
      <c r="F46" s="10">
        <f>25.35+200</f>
        <v>225.35</v>
      </c>
      <c r="G46" s="139"/>
      <c r="H46" s="125">
        <f t="shared" si="2"/>
        <v>225.35</v>
      </c>
      <c r="I46" s="125" t="e">
        <f t="shared" si="0"/>
        <v>#DIV/0!</v>
      </c>
      <c r="J46" s="125"/>
      <c r="K46" s="125"/>
    </row>
    <row r="47" spans="2:11" ht="15.75">
      <c r="B47" s="107">
        <f t="shared" si="4"/>
        <v>44</v>
      </c>
      <c r="C47" s="124" t="s">
        <v>302</v>
      </c>
      <c r="D47" s="125"/>
      <c r="E47" s="138">
        <f t="shared" si="1"/>
        <v>0</v>
      </c>
      <c r="F47" s="10">
        <f>(75+17.9)+348.5+220</f>
        <v>661.4</v>
      </c>
      <c r="G47" s="139"/>
      <c r="H47" s="125">
        <f t="shared" si="2"/>
        <v>661.4</v>
      </c>
      <c r="I47" s="125" t="e">
        <f t="shared" si="0"/>
        <v>#DIV/0!</v>
      </c>
      <c r="J47" s="125"/>
      <c r="K47" s="125"/>
    </row>
    <row r="48" spans="2:11" ht="15.75">
      <c r="B48" s="107">
        <f t="shared" ref="B48:B50" si="5">B47+1</f>
        <v>45</v>
      </c>
      <c r="C48" s="124" t="s">
        <v>303</v>
      </c>
      <c r="D48" s="125"/>
      <c r="E48" s="138">
        <f t="shared" si="1"/>
        <v>0</v>
      </c>
      <c r="F48" s="10">
        <f>9.95</f>
        <v>9.9499999999999993</v>
      </c>
      <c r="G48" s="139"/>
      <c r="H48" s="125">
        <f t="shared" si="2"/>
        <v>9.9499999999999993</v>
      </c>
      <c r="I48" s="125" t="e">
        <f t="shared" si="0"/>
        <v>#DIV/0!</v>
      </c>
      <c r="J48" s="125"/>
      <c r="K48" s="125"/>
    </row>
    <row r="49" spans="2:11" ht="15.75">
      <c r="B49" s="107">
        <f t="shared" si="5"/>
        <v>46</v>
      </c>
      <c r="C49" s="124" t="s">
        <v>304</v>
      </c>
      <c r="D49" s="125"/>
      <c r="E49" s="138">
        <f t="shared" si="1"/>
        <v>0</v>
      </c>
      <c r="F49" s="10">
        <v>25</v>
      </c>
      <c r="G49" s="139"/>
      <c r="H49" s="125">
        <f t="shared" si="2"/>
        <v>25</v>
      </c>
      <c r="I49" s="125" t="e">
        <f t="shared" si="0"/>
        <v>#DIV/0!</v>
      </c>
      <c r="J49" s="125" t="s">
        <v>285</v>
      </c>
      <c r="K49" s="125"/>
    </row>
    <row r="50" spans="2:11" ht="15.75">
      <c r="B50" s="107">
        <f t="shared" si="5"/>
        <v>47</v>
      </c>
      <c r="C50" s="124" t="s">
        <v>305</v>
      </c>
      <c r="D50" s="125"/>
      <c r="E50" s="138">
        <f t="shared" si="1"/>
        <v>0</v>
      </c>
      <c r="F50" s="10">
        <v>25</v>
      </c>
      <c r="G50" s="139"/>
      <c r="H50" s="125">
        <f t="shared" si="2"/>
        <v>25</v>
      </c>
      <c r="I50" s="125" t="e">
        <f t="shared" si="0"/>
        <v>#DIV/0!</v>
      </c>
      <c r="J50" s="125"/>
      <c r="K50" s="125"/>
    </row>
    <row r="51" spans="2:11" ht="15.75" thickBot="1">
      <c r="C51" s="149"/>
      <c r="D51" s="149"/>
      <c r="E51" s="149"/>
      <c r="F51" s="149"/>
      <c r="G51" s="149"/>
      <c r="H51" s="149"/>
      <c r="I51" s="149"/>
      <c r="J51" s="149"/>
      <c r="K51" s="149"/>
    </row>
    <row r="52" spans="2:11" ht="16.5" thickBot="1">
      <c r="B52" s="113" t="s">
        <v>306</v>
      </c>
      <c r="C52" s="116" t="s">
        <v>243</v>
      </c>
      <c r="D52" s="117" t="s">
        <v>244</v>
      </c>
      <c r="E52" s="117" t="s">
        <v>245</v>
      </c>
      <c r="F52" s="140" t="s">
        <v>246</v>
      </c>
      <c r="G52" s="118" t="s">
        <v>247</v>
      </c>
      <c r="H52" s="119" t="s">
        <v>248</v>
      </c>
      <c r="I52" s="119" t="s">
        <v>249</v>
      </c>
      <c r="J52" s="120" t="s">
        <v>250</v>
      </c>
      <c r="K52" s="121" t="s">
        <v>251</v>
      </c>
    </row>
    <row r="53" spans="2:11" ht="15.75">
      <c r="B53" s="107">
        <v>1</v>
      </c>
      <c r="C53" s="128" t="s">
        <v>307</v>
      </c>
      <c r="D53" s="125">
        <v>8192.3310282210805</v>
      </c>
      <c r="E53" s="138">
        <f>D53/10</f>
        <v>819.23310282210809</v>
      </c>
      <c r="F53" s="126">
        <f>(7*25)+8.55</f>
        <v>183.55</v>
      </c>
      <c r="G53" s="139"/>
      <c r="H53" s="125">
        <f>F53+G53</f>
        <v>183.55</v>
      </c>
      <c r="I53" s="125">
        <f t="shared" ref="I53:I118" si="6">H53/E53</f>
        <v>0.22405100497978397</v>
      </c>
      <c r="J53" s="125" t="s">
        <v>255</v>
      </c>
      <c r="K53" s="125"/>
    </row>
    <row r="54" spans="2:11">
      <c r="B54" s="107">
        <f>B53+1</f>
        <v>2</v>
      </c>
      <c r="C54" s="128" t="s">
        <v>308</v>
      </c>
      <c r="D54" s="125">
        <v>229.52160000000001</v>
      </c>
      <c r="E54" s="138">
        <v>20</v>
      </c>
      <c r="F54" s="57">
        <f>100</f>
        <v>100</v>
      </c>
      <c r="G54" s="139"/>
      <c r="H54" s="125">
        <f t="shared" ref="H54:H92" si="7">F54+G54</f>
        <v>100</v>
      </c>
      <c r="I54" s="125">
        <f t="shared" si="6"/>
        <v>5</v>
      </c>
      <c r="J54" s="125" t="s">
        <v>309</v>
      </c>
      <c r="K54" s="125"/>
    </row>
    <row r="55" spans="2:11" ht="15.75">
      <c r="B55" s="107">
        <v>2</v>
      </c>
      <c r="C55" s="128" t="s">
        <v>310</v>
      </c>
      <c r="D55" s="125">
        <v>24622.791840000002</v>
      </c>
      <c r="E55" s="138">
        <f>D55/10</f>
        <v>2462.279184</v>
      </c>
      <c r="F55" s="126">
        <f>(45*25)+20.25+224.05</f>
        <v>1369.3</v>
      </c>
      <c r="G55" s="139"/>
      <c r="H55" s="125">
        <f t="shared" si="7"/>
        <v>1369.3</v>
      </c>
      <c r="I55" s="125">
        <f t="shared" si="6"/>
        <v>0.5561107809779543</v>
      </c>
      <c r="J55" s="125" t="s">
        <v>311</v>
      </c>
      <c r="K55" s="125" t="s">
        <v>312</v>
      </c>
    </row>
    <row r="56" spans="2:11" ht="15.75">
      <c r="B56" s="107">
        <f t="shared" ref="B56:B70" si="8">B55+1</f>
        <v>3</v>
      </c>
      <c r="C56" s="128" t="s">
        <v>313</v>
      </c>
      <c r="D56" s="125">
        <v>124.02094391662401</v>
      </c>
      <c r="E56" s="138">
        <f t="shared" ref="E56:E92" si="9">D56/10</f>
        <v>12.4020943916624</v>
      </c>
      <c r="F56" s="126">
        <f>38.05</f>
        <v>38.049999999999997</v>
      </c>
      <c r="G56" s="139"/>
      <c r="H56" s="125">
        <f t="shared" si="7"/>
        <v>38.049999999999997</v>
      </c>
      <c r="I56" s="125">
        <f t="shared" si="6"/>
        <v>3.0680301889638901</v>
      </c>
      <c r="J56" s="125" t="s">
        <v>258</v>
      </c>
      <c r="K56" s="125"/>
    </row>
    <row r="57" spans="2:11" ht="15.75">
      <c r="B57" s="107">
        <v>3</v>
      </c>
      <c r="C57" s="128" t="s">
        <v>314</v>
      </c>
      <c r="D57" s="125">
        <v>1227.2976000000001</v>
      </c>
      <c r="E57" s="138">
        <f t="shared" si="9"/>
        <v>122.72976000000001</v>
      </c>
      <c r="F57" s="126">
        <f>24.55</f>
        <v>24.55</v>
      </c>
      <c r="G57" s="139"/>
      <c r="H57" s="125">
        <f t="shared" si="7"/>
        <v>24.55</v>
      </c>
      <c r="I57" s="125">
        <f t="shared" si="6"/>
        <v>0.2000329830352475</v>
      </c>
      <c r="J57" s="125" t="s">
        <v>315</v>
      </c>
      <c r="K57" s="125" t="s">
        <v>256</v>
      </c>
    </row>
    <row r="58" spans="2:11">
      <c r="B58" s="107">
        <f t="shared" si="8"/>
        <v>4</v>
      </c>
      <c r="C58" s="128" t="s">
        <v>316</v>
      </c>
      <c r="D58" s="125"/>
      <c r="E58" s="138">
        <f t="shared" si="9"/>
        <v>0</v>
      </c>
      <c r="F58" s="10">
        <f>44.85</f>
        <v>44.85</v>
      </c>
      <c r="G58" s="139"/>
      <c r="H58" s="125">
        <f t="shared" si="7"/>
        <v>44.85</v>
      </c>
      <c r="I58" s="125" t="e">
        <f t="shared" si="6"/>
        <v>#DIV/0!</v>
      </c>
      <c r="J58" s="125"/>
      <c r="K58" s="125"/>
    </row>
    <row r="59" spans="2:11" ht="15.75">
      <c r="B59" s="107">
        <v>4</v>
      </c>
      <c r="C59" s="128" t="s">
        <v>317</v>
      </c>
      <c r="D59" s="125">
        <v>11393.738880000001</v>
      </c>
      <c r="E59" s="138">
        <f t="shared" si="9"/>
        <v>1139.3738880000001</v>
      </c>
      <c r="F59" s="126">
        <f>500+1620+77.75</f>
        <v>2197.75</v>
      </c>
      <c r="G59" s="139"/>
      <c r="H59" s="125">
        <f t="shared" si="7"/>
        <v>2197.75</v>
      </c>
      <c r="I59" s="125">
        <f t="shared" si="6"/>
        <v>1.9289102753248282</v>
      </c>
      <c r="J59" s="125"/>
      <c r="K59" s="125"/>
    </row>
    <row r="60" spans="2:11" ht="15.75">
      <c r="B60" s="107">
        <f t="shared" si="8"/>
        <v>5</v>
      </c>
      <c r="C60" s="128" t="s">
        <v>318</v>
      </c>
      <c r="D60" s="125">
        <v>546.84278400000005</v>
      </c>
      <c r="E60" s="138">
        <f t="shared" si="9"/>
        <v>54.684278400000004</v>
      </c>
      <c r="F60" s="126">
        <f>142.15</f>
        <v>142.15</v>
      </c>
      <c r="G60" s="139"/>
      <c r="H60" s="125">
        <f t="shared" si="7"/>
        <v>142.15</v>
      </c>
      <c r="I60" s="125">
        <f t="shared" si="6"/>
        <v>2.5994674184088713</v>
      </c>
      <c r="J60" s="125"/>
      <c r="K60" s="125"/>
    </row>
    <row r="61" spans="2:11">
      <c r="B61" s="107">
        <v>5</v>
      </c>
      <c r="C61" s="128" t="s">
        <v>319</v>
      </c>
      <c r="D61" s="125">
        <v>281.4144</v>
      </c>
      <c r="E61" s="138">
        <f t="shared" si="9"/>
        <v>28.141439999999999</v>
      </c>
      <c r="F61" s="10"/>
      <c r="G61" s="139"/>
      <c r="H61" s="125">
        <f t="shared" si="7"/>
        <v>0</v>
      </c>
      <c r="I61" s="125">
        <f t="shared" si="6"/>
        <v>0</v>
      </c>
      <c r="J61" s="125"/>
      <c r="K61" s="125"/>
    </row>
    <row r="62" spans="2:11">
      <c r="B62" s="107">
        <f t="shared" si="8"/>
        <v>6</v>
      </c>
      <c r="C62" s="128" t="s">
        <v>320</v>
      </c>
      <c r="D62" s="125">
        <v>1899.360768</v>
      </c>
      <c r="E62" s="138">
        <f t="shared" si="9"/>
        <v>189.9360768</v>
      </c>
      <c r="F62" s="135">
        <f>215*4+16.25</f>
        <v>876.25</v>
      </c>
      <c r="G62" s="139"/>
      <c r="H62" s="125">
        <f t="shared" si="7"/>
        <v>876.25</v>
      </c>
      <c r="I62" s="125">
        <f t="shared" si="6"/>
        <v>4.6133942259041119</v>
      </c>
      <c r="J62" s="125"/>
      <c r="K62" s="125"/>
    </row>
    <row r="63" spans="2:11">
      <c r="B63" s="107">
        <v>6</v>
      </c>
      <c r="C63" s="128" t="s">
        <v>321</v>
      </c>
      <c r="D63" s="125">
        <v>981.85040000000004</v>
      </c>
      <c r="E63" s="138">
        <f t="shared" si="9"/>
        <v>98.185040000000001</v>
      </c>
      <c r="F63" s="135">
        <f>413.53</f>
        <v>413.53</v>
      </c>
      <c r="G63" s="139"/>
      <c r="H63" s="125">
        <f t="shared" si="7"/>
        <v>413.53</v>
      </c>
      <c r="I63" s="125">
        <f t="shared" si="6"/>
        <v>4.2117414221148151</v>
      </c>
      <c r="J63" s="125" t="s">
        <v>285</v>
      </c>
      <c r="K63" s="125"/>
    </row>
    <row r="64" spans="2:11">
      <c r="B64" s="107">
        <f t="shared" si="8"/>
        <v>7</v>
      </c>
      <c r="C64" s="128" t="s">
        <v>322</v>
      </c>
      <c r="D64" s="125">
        <v>248.34912</v>
      </c>
      <c r="E64" s="138">
        <f t="shared" si="9"/>
        <v>24.834911999999999</v>
      </c>
      <c r="F64" s="10">
        <f>75+6.75</f>
        <v>81.75</v>
      </c>
      <c r="G64" s="139"/>
      <c r="H64" s="125">
        <f t="shared" si="7"/>
        <v>81.75</v>
      </c>
      <c r="I64" s="125">
        <f t="shared" si="6"/>
        <v>3.2917370514540178</v>
      </c>
      <c r="J64" s="125" t="s">
        <v>285</v>
      </c>
      <c r="K64" s="125"/>
    </row>
    <row r="65" spans="2:11">
      <c r="B65" s="107">
        <v>7</v>
      </c>
      <c r="C65" s="128" t="s">
        <v>323</v>
      </c>
      <c r="D65" s="125">
        <v>144</v>
      </c>
      <c r="E65" s="138">
        <f t="shared" si="9"/>
        <v>14.4</v>
      </c>
      <c r="F65" s="135">
        <f>53.6-3</f>
        <v>50.6</v>
      </c>
      <c r="G65" s="139"/>
      <c r="H65" s="125">
        <f t="shared" si="7"/>
        <v>50.6</v>
      </c>
      <c r="I65" s="125">
        <f t="shared" si="6"/>
        <v>3.5138888888888888</v>
      </c>
      <c r="J65" s="125" t="s">
        <v>309</v>
      </c>
      <c r="K65" s="125"/>
    </row>
    <row r="66" spans="2:11">
      <c r="B66" s="107">
        <f t="shared" si="8"/>
        <v>8</v>
      </c>
      <c r="C66" s="128" t="s">
        <v>324</v>
      </c>
      <c r="D66" s="125">
        <v>144</v>
      </c>
      <c r="E66" s="138">
        <f t="shared" si="9"/>
        <v>14.4</v>
      </c>
      <c r="F66" s="136">
        <f>34.95</f>
        <v>34.950000000000003</v>
      </c>
      <c r="G66" s="139"/>
      <c r="H66" s="125">
        <f t="shared" si="7"/>
        <v>34.950000000000003</v>
      </c>
      <c r="I66" s="125">
        <f t="shared" si="6"/>
        <v>2.4270833333333335</v>
      </c>
      <c r="J66" s="125" t="s">
        <v>309</v>
      </c>
      <c r="K66" s="125"/>
    </row>
    <row r="67" spans="2:11" ht="15.75">
      <c r="B67" s="107">
        <v>8</v>
      </c>
      <c r="C67" s="128" t="s">
        <v>325</v>
      </c>
      <c r="D67" s="125">
        <v>72</v>
      </c>
      <c r="E67" s="138">
        <f t="shared" si="9"/>
        <v>7.2</v>
      </c>
      <c r="F67" s="126">
        <f>1.65</f>
        <v>1.65</v>
      </c>
      <c r="G67" s="139"/>
      <c r="H67" s="125">
        <f t="shared" si="7"/>
        <v>1.65</v>
      </c>
      <c r="I67" s="125">
        <f t="shared" si="6"/>
        <v>0.22916666666666666</v>
      </c>
      <c r="J67" s="125" t="s">
        <v>309</v>
      </c>
      <c r="K67" s="125" t="s">
        <v>256</v>
      </c>
    </row>
    <row r="68" spans="2:11" ht="15.75">
      <c r="B68" s="107">
        <f t="shared" si="8"/>
        <v>9</v>
      </c>
      <c r="C68" s="128" t="s">
        <v>326</v>
      </c>
      <c r="D68" s="125">
        <v>576</v>
      </c>
      <c r="E68" s="138">
        <f t="shared" si="9"/>
        <v>57.6</v>
      </c>
      <c r="F68" s="126">
        <f>115.45</f>
        <v>115.45</v>
      </c>
      <c r="G68" s="139"/>
      <c r="H68" s="125">
        <f t="shared" si="7"/>
        <v>115.45</v>
      </c>
      <c r="I68" s="125">
        <f t="shared" si="6"/>
        <v>2.0043402777777777</v>
      </c>
      <c r="J68" s="125" t="s">
        <v>309</v>
      </c>
      <c r="K68" s="125"/>
    </row>
    <row r="69" spans="2:11">
      <c r="B69" s="107">
        <v>9</v>
      </c>
      <c r="C69" s="128" t="s">
        <v>327</v>
      </c>
      <c r="D69" s="125">
        <v>72</v>
      </c>
      <c r="E69" s="138">
        <f t="shared" si="9"/>
        <v>7.2</v>
      </c>
      <c r="F69" s="10">
        <v>22</v>
      </c>
      <c r="G69" s="139"/>
      <c r="H69" s="125">
        <f t="shared" si="7"/>
        <v>22</v>
      </c>
      <c r="I69" s="125">
        <f t="shared" si="6"/>
        <v>3.0555555555555554</v>
      </c>
      <c r="J69" s="125" t="s">
        <v>309</v>
      </c>
      <c r="K69" s="125"/>
    </row>
    <row r="70" spans="2:11">
      <c r="B70" s="107">
        <f t="shared" si="8"/>
        <v>10</v>
      </c>
      <c r="C70" s="128" t="s">
        <v>328</v>
      </c>
      <c r="D70" s="125">
        <v>216</v>
      </c>
      <c r="E70" s="138">
        <f t="shared" si="9"/>
        <v>21.6</v>
      </c>
      <c r="F70" s="10">
        <f>94.35</f>
        <v>94.35</v>
      </c>
      <c r="G70" s="139"/>
      <c r="H70" s="125">
        <f t="shared" si="7"/>
        <v>94.35</v>
      </c>
      <c r="I70" s="125">
        <f t="shared" si="6"/>
        <v>4.3680555555555554</v>
      </c>
      <c r="J70" s="125" t="s">
        <v>309</v>
      </c>
      <c r="K70" s="125"/>
    </row>
    <row r="71" spans="2:11">
      <c r="B71" s="107">
        <v>10</v>
      </c>
      <c r="C71" s="128" t="s">
        <v>329</v>
      </c>
      <c r="D71" s="125">
        <v>72</v>
      </c>
      <c r="E71" s="138">
        <f t="shared" si="9"/>
        <v>7.2</v>
      </c>
      <c r="F71" s="10"/>
      <c r="G71" s="139"/>
      <c r="H71" s="125">
        <f t="shared" si="7"/>
        <v>0</v>
      </c>
      <c r="I71" s="125">
        <f t="shared" si="6"/>
        <v>0</v>
      </c>
      <c r="J71" s="125"/>
      <c r="K71" s="125"/>
    </row>
    <row r="72" spans="2:11">
      <c r="B72" s="107">
        <f t="shared" ref="B72:B86" si="10">B71+1</f>
        <v>11</v>
      </c>
      <c r="C72" s="128" t="s">
        <v>330</v>
      </c>
      <c r="D72" s="125">
        <v>72</v>
      </c>
      <c r="E72" s="138">
        <f t="shared" si="9"/>
        <v>7.2</v>
      </c>
      <c r="F72" s="10">
        <f>48.45</f>
        <v>48.45</v>
      </c>
      <c r="G72" s="139"/>
      <c r="H72" s="125">
        <f t="shared" si="7"/>
        <v>48.45</v>
      </c>
      <c r="I72" s="125">
        <f t="shared" si="6"/>
        <v>6.729166666666667</v>
      </c>
      <c r="J72" s="125" t="s">
        <v>309</v>
      </c>
      <c r="K72" s="125"/>
    </row>
    <row r="73" spans="2:11">
      <c r="B73" s="107">
        <v>11</v>
      </c>
      <c r="C73" s="128" t="s">
        <v>331</v>
      </c>
      <c r="D73" s="125">
        <v>450</v>
      </c>
      <c r="E73" s="138">
        <f t="shared" si="9"/>
        <v>45</v>
      </c>
      <c r="F73" s="10">
        <f>1.35+6.65</f>
        <v>8</v>
      </c>
      <c r="G73" s="139"/>
      <c r="H73" s="125">
        <f t="shared" si="7"/>
        <v>8</v>
      </c>
      <c r="I73" s="125">
        <f t="shared" si="6"/>
        <v>0.17777777777777778</v>
      </c>
      <c r="J73" s="125"/>
      <c r="K73" s="125"/>
    </row>
    <row r="74" spans="2:11" ht="15.75">
      <c r="B74" s="107">
        <f t="shared" si="10"/>
        <v>12</v>
      </c>
      <c r="C74" s="128" t="s">
        <v>332</v>
      </c>
      <c r="D74" s="125">
        <v>18</v>
      </c>
      <c r="E74" s="138">
        <f t="shared" si="9"/>
        <v>1.8</v>
      </c>
      <c r="F74" s="126">
        <f>18.5</f>
        <v>18.5</v>
      </c>
      <c r="G74" s="139"/>
      <c r="H74" s="125">
        <f t="shared" si="7"/>
        <v>18.5</v>
      </c>
      <c r="I74" s="125">
        <f t="shared" si="6"/>
        <v>10.277777777777777</v>
      </c>
      <c r="J74" s="125" t="s">
        <v>309</v>
      </c>
      <c r="K74" s="125"/>
    </row>
    <row r="75" spans="2:11">
      <c r="B75" s="107">
        <v>12</v>
      </c>
      <c r="C75" s="128" t="s">
        <v>333</v>
      </c>
      <c r="D75" s="125">
        <v>967.26</v>
      </c>
      <c r="E75" s="138">
        <f t="shared" si="9"/>
        <v>96.725999999999999</v>
      </c>
      <c r="F75" s="10">
        <v>202</v>
      </c>
      <c r="G75" s="139"/>
      <c r="H75" s="125">
        <f t="shared" si="7"/>
        <v>202</v>
      </c>
      <c r="I75" s="125">
        <f t="shared" si="6"/>
        <v>2.0883733432582758</v>
      </c>
      <c r="J75" s="125" t="s">
        <v>285</v>
      </c>
      <c r="K75" s="125"/>
    </row>
    <row r="76" spans="2:11">
      <c r="B76" s="107">
        <f t="shared" si="10"/>
        <v>13</v>
      </c>
      <c r="C76" s="128" t="s">
        <v>334</v>
      </c>
      <c r="D76" s="125">
        <v>14.4</v>
      </c>
      <c r="E76" s="138">
        <f t="shared" si="9"/>
        <v>1.44</v>
      </c>
      <c r="F76" s="10"/>
      <c r="G76" s="139"/>
      <c r="H76" s="125">
        <f t="shared" si="7"/>
        <v>0</v>
      </c>
      <c r="I76" s="125">
        <f t="shared" si="6"/>
        <v>0</v>
      </c>
      <c r="J76" s="125"/>
      <c r="K76" s="125"/>
    </row>
    <row r="77" spans="2:11">
      <c r="B77" s="107">
        <v>13</v>
      </c>
      <c r="C77" s="128" t="s">
        <v>335</v>
      </c>
      <c r="D77" s="125">
        <v>5.76</v>
      </c>
      <c r="E77" s="138">
        <f t="shared" si="9"/>
        <v>0.57599999999999996</v>
      </c>
      <c r="F77" s="10">
        <v>0</v>
      </c>
      <c r="G77" s="139"/>
      <c r="H77" s="125">
        <f t="shared" si="7"/>
        <v>0</v>
      </c>
      <c r="I77" s="125">
        <f t="shared" si="6"/>
        <v>0</v>
      </c>
      <c r="J77" s="125" t="s">
        <v>255</v>
      </c>
      <c r="K77" s="125" t="s">
        <v>256</v>
      </c>
    </row>
    <row r="78" spans="2:11">
      <c r="B78" s="107">
        <f t="shared" si="10"/>
        <v>14</v>
      </c>
      <c r="C78" s="128" t="s">
        <v>336</v>
      </c>
      <c r="D78" s="125">
        <v>3.6576</v>
      </c>
      <c r="E78" s="138">
        <f t="shared" si="9"/>
        <v>0.36575999999999997</v>
      </c>
      <c r="F78" s="10"/>
      <c r="G78" s="139"/>
      <c r="H78" s="125">
        <f t="shared" si="7"/>
        <v>0</v>
      </c>
      <c r="I78" s="125">
        <f t="shared" si="6"/>
        <v>0</v>
      </c>
      <c r="J78" s="125"/>
      <c r="K78" s="125"/>
    </row>
    <row r="79" spans="2:11">
      <c r="B79" s="107">
        <v>14</v>
      </c>
      <c r="C79" s="128" t="s">
        <v>337</v>
      </c>
      <c r="D79" s="125">
        <v>14.4</v>
      </c>
      <c r="E79" s="138">
        <f t="shared" si="9"/>
        <v>1.44</v>
      </c>
      <c r="F79" s="10"/>
      <c r="G79" s="139"/>
      <c r="H79" s="125">
        <f t="shared" si="7"/>
        <v>0</v>
      </c>
      <c r="I79" s="125">
        <f t="shared" si="6"/>
        <v>0</v>
      </c>
      <c r="J79" s="125"/>
      <c r="K79" s="125"/>
    </row>
    <row r="80" spans="2:11" ht="15.75">
      <c r="B80" s="107">
        <f t="shared" si="10"/>
        <v>15</v>
      </c>
      <c r="C80" s="128" t="s">
        <v>338</v>
      </c>
      <c r="D80" s="125"/>
      <c r="E80" s="138">
        <f t="shared" si="9"/>
        <v>0</v>
      </c>
      <c r="F80" s="144">
        <f>16.5</f>
        <v>16.5</v>
      </c>
      <c r="G80" s="139"/>
      <c r="H80" s="125">
        <f t="shared" si="7"/>
        <v>16.5</v>
      </c>
      <c r="I80" s="125" t="e">
        <f t="shared" si="6"/>
        <v>#DIV/0!</v>
      </c>
      <c r="J80" s="125"/>
      <c r="K80" s="125"/>
    </row>
    <row r="81" spans="2:11" ht="15.75">
      <c r="B81" s="107">
        <v>15</v>
      </c>
      <c r="C81" s="128" t="s">
        <v>339</v>
      </c>
      <c r="D81" s="125"/>
      <c r="E81" s="138">
        <f t="shared" si="9"/>
        <v>0</v>
      </c>
      <c r="F81" s="126">
        <v>18.8</v>
      </c>
      <c r="G81" s="139"/>
      <c r="H81" s="125">
        <f t="shared" si="7"/>
        <v>18.8</v>
      </c>
      <c r="I81" s="125" t="e">
        <f t="shared" si="6"/>
        <v>#DIV/0!</v>
      </c>
      <c r="J81" s="125"/>
      <c r="K81" s="125"/>
    </row>
    <row r="82" spans="2:11" ht="15.75">
      <c r="B82" s="107">
        <f t="shared" si="10"/>
        <v>16</v>
      </c>
      <c r="C82" s="128" t="s">
        <v>340</v>
      </c>
      <c r="D82" s="125"/>
      <c r="E82" s="138">
        <f t="shared" si="9"/>
        <v>0</v>
      </c>
      <c r="F82" s="126">
        <f>1.3+11.65</f>
        <v>12.950000000000001</v>
      </c>
      <c r="G82" s="139"/>
      <c r="H82" s="125">
        <f t="shared" si="7"/>
        <v>12.950000000000001</v>
      </c>
      <c r="I82" s="125" t="e">
        <f t="shared" si="6"/>
        <v>#DIV/0!</v>
      </c>
      <c r="J82" s="125"/>
      <c r="K82" s="125"/>
    </row>
    <row r="83" spans="2:11" ht="15.75">
      <c r="B83" s="107">
        <v>16</v>
      </c>
      <c r="C83" s="128" t="s">
        <v>341</v>
      </c>
      <c r="D83" s="125"/>
      <c r="E83" s="138">
        <f t="shared" si="9"/>
        <v>0</v>
      </c>
      <c r="F83" s="126">
        <f>640.9</f>
        <v>640.9</v>
      </c>
      <c r="G83" s="139"/>
      <c r="H83" s="125">
        <f t="shared" si="7"/>
        <v>640.9</v>
      </c>
      <c r="I83" s="125" t="e">
        <f t="shared" si="6"/>
        <v>#DIV/0!</v>
      </c>
      <c r="J83" s="125"/>
      <c r="K83" s="125"/>
    </row>
    <row r="84" spans="2:11">
      <c r="B84" s="107">
        <f t="shared" si="10"/>
        <v>17</v>
      </c>
      <c r="C84" s="128" t="s">
        <v>342</v>
      </c>
      <c r="D84" s="125"/>
      <c r="E84" s="138">
        <f t="shared" si="9"/>
        <v>0</v>
      </c>
      <c r="F84" s="10">
        <f>12.5</f>
        <v>12.5</v>
      </c>
      <c r="G84" s="139"/>
      <c r="H84" s="125">
        <f t="shared" si="7"/>
        <v>12.5</v>
      </c>
      <c r="I84" s="125" t="e">
        <f t="shared" si="6"/>
        <v>#DIV/0!</v>
      </c>
      <c r="J84" s="125"/>
      <c r="K84" s="125"/>
    </row>
    <row r="85" spans="2:11">
      <c r="B85" s="107">
        <v>17</v>
      </c>
      <c r="C85" s="128" t="s">
        <v>343</v>
      </c>
      <c r="D85" s="125"/>
      <c r="E85" s="138">
        <f t="shared" si="9"/>
        <v>0</v>
      </c>
      <c r="F85" s="135">
        <f>58.75</f>
        <v>58.75</v>
      </c>
      <c r="G85" s="139"/>
      <c r="H85" s="125">
        <f t="shared" si="7"/>
        <v>58.75</v>
      </c>
      <c r="I85" s="125" t="e">
        <f t="shared" si="6"/>
        <v>#DIV/0!</v>
      </c>
      <c r="J85" s="125"/>
      <c r="K85" s="125"/>
    </row>
    <row r="86" spans="2:11">
      <c r="B86" s="107">
        <f t="shared" si="10"/>
        <v>18</v>
      </c>
      <c r="C86" s="128" t="s">
        <v>344</v>
      </c>
      <c r="D86" s="125"/>
      <c r="E86" s="138">
        <f t="shared" si="9"/>
        <v>0</v>
      </c>
      <c r="F86" s="135">
        <f>56.7</f>
        <v>56.7</v>
      </c>
      <c r="G86" s="139"/>
      <c r="H86" s="125">
        <f t="shared" si="7"/>
        <v>56.7</v>
      </c>
      <c r="I86" s="125" t="e">
        <f t="shared" si="6"/>
        <v>#DIV/0!</v>
      </c>
      <c r="J86" s="125"/>
      <c r="K86" s="125"/>
    </row>
    <row r="87" spans="2:11" ht="15.75">
      <c r="B87" s="107">
        <v>18</v>
      </c>
      <c r="C87" s="128" t="s">
        <v>345</v>
      </c>
      <c r="D87" s="125"/>
      <c r="E87" s="138">
        <f t="shared" si="9"/>
        <v>0</v>
      </c>
      <c r="F87" s="144">
        <f>45.8</f>
        <v>45.8</v>
      </c>
      <c r="G87" s="139"/>
      <c r="H87" s="125">
        <f t="shared" si="7"/>
        <v>45.8</v>
      </c>
      <c r="I87" s="125" t="e">
        <f t="shared" si="6"/>
        <v>#DIV/0!</v>
      </c>
      <c r="J87" s="125"/>
      <c r="K87" s="125"/>
    </row>
    <row r="88" spans="2:11" ht="15.75">
      <c r="B88" s="107">
        <v>18</v>
      </c>
      <c r="C88" s="128" t="s">
        <v>346</v>
      </c>
      <c r="D88" s="125"/>
      <c r="E88" s="138">
        <f t="shared" si="9"/>
        <v>0</v>
      </c>
      <c r="F88" s="144">
        <f>50</f>
        <v>50</v>
      </c>
      <c r="G88" s="139"/>
      <c r="H88" s="125">
        <f t="shared" si="7"/>
        <v>50</v>
      </c>
      <c r="I88" s="125" t="e">
        <f t="shared" si="6"/>
        <v>#DIV/0!</v>
      </c>
      <c r="J88" s="125"/>
      <c r="K88" s="125"/>
    </row>
    <row r="89" spans="2:11" ht="15.75">
      <c r="B89" s="107">
        <f>B87+1</f>
        <v>19</v>
      </c>
      <c r="C89" s="128" t="s">
        <v>347</v>
      </c>
      <c r="D89" s="125"/>
      <c r="E89" s="138">
        <f t="shared" si="9"/>
        <v>0</v>
      </c>
      <c r="F89" s="144">
        <f>19.3</f>
        <v>19.3</v>
      </c>
      <c r="G89" s="139"/>
      <c r="H89" s="125">
        <f t="shared" si="7"/>
        <v>19.3</v>
      </c>
      <c r="I89" s="125" t="e">
        <f t="shared" si="6"/>
        <v>#DIV/0!</v>
      </c>
      <c r="J89" s="125"/>
      <c r="K89" s="125"/>
    </row>
    <row r="90" spans="2:11" ht="15.75">
      <c r="B90" s="107">
        <v>19</v>
      </c>
      <c r="C90" s="128" t="s">
        <v>348</v>
      </c>
      <c r="D90" s="125"/>
      <c r="E90" s="138">
        <f t="shared" si="9"/>
        <v>0</v>
      </c>
      <c r="F90" s="126">
        <f>68.1</f>
        <v>68.099999999999994</v>
      </c>
      <c r="G90" s="139"/>
      <c r="H90" s="125">
        <f t="shared" si="7"/>
        <v>68.099999999999994</v>
      </c>
      <c r="I90" s="125" t="e">
        <f t="shared" si="6"/>
        <v>#DIV/0!</v>
      </c>
      <c r="J90" s="125"/>
      <c r="K90" s="125"/>
    </row>
    <row r="91" spans="2:11" ht="15.75">
      <c r="B91" s="107">
        <f t="shared" ref="B91" si="11">B90+1</f>
        <v>20</v>
      </c>
      <c r="C91" s="128" t="s">
        <v>349</v>
      </c>
      <c r="D91" s="125"/>
      <c r="E91" s="138">
        <f t="shared" si="9"/>
        <v>0</v>
      </c>
      <c r="F91" s="126">
        <f>18.5</f>
        <v>18.5</v>
      </c>
      <c r="G91" s="139"/>
      <c r="H91" s="125">
        <f t="shared" si="7"/>
        <v>18.5</v>
      </c>
      <c r="I91" s="125" t="e">
        <f t="shared" si="6"/>
        <v>#DIV/0!</v>
      </c>
      <c r="J91" s="125"/>
      <c r="K91" s="125"/>
    </row>
    <row r="92" spans="2:11" ht="16.5" thickBot="1">
      <c r="B92" s="107">
        <v>20</v>
      </c>
      <c r="C92" s="128" t="s">
        <v>350</v>
      </c>
      <c r="D92" s="125"/>
      <c r="E92" s="138">
        <f t="shared" si="9"/>
        <v>0</v>
      </c>
      <c r="F92" s="126">
        <f>224.35+100</f>
        <v>324.35000000000002</v>
      </c>
      <c r="G92" s="139"/>
      <c r="H92" s="125">
        <f t="shared" si="7"/>
        <v>324.35000000000002</v>
      </c>
      <c r="I92" s="125" t="e">
        <f t="shared" si="6"/>
        <v>#DIV/0!</v>
      </c>
      <c r="J92" s="125"/>
      <c r="K92" s="125"/>
    </row>
    <row r="93" spans="2:11" ht="16.5" thickBot="1">
      <c r="B93" s="113" t="s">
        <v>351</v>
      </c>
      <c r="C93" s="116" t="s">
        <v>352</v>
      </c>
      <c r="D93" s="117" t="s">
        <v>244</v>
      </c>
      <c r="E93" s="141" t="s">
        <v>245</v>
      </c>
      <c r="F93" s="145" t="s">
        <v>246</v>
      </c>
      <c r="G93" s="143" t="s">
        <v>247</v>
      </c>
      <c r="H93" s="119" t="s">
        <v>248</v>
      </c>
      <c r="I93" s="119" t="s">
        <v>249</v>
      </c>
      <c r="J93" s="120" t="s">
        <v>250</v>
      </c>
      <c r="K93" s="121" t="s">
        <v>251</v>
      </c>
    </row>
    <row r="94" spans="2:11">
      <c r="B94" s="107">
        <v>1</v>
      </c>
      <c r="C94" s="128" t="s">
        <v>353</v>
      </c>
      <c r="D94" s="125">
        <v>1781.90004</v>
      </c>
      <c r="E94" s="138">
        <f>D94/12</f>
        <v>148.49167</v>
      </c>
      <c r="F94" s="129">
        <f>1531.3</f>
        <v>1531.3</v>
      </c>
      <c r="G94" s="139"/>
      <c r="H94" s="125">
        <f t="shared" ref="H94:H143" si="12">F94+G94</f>
        <v>1531.3</v>
      </c>
      <c r="I94" s="125">
        <f t="shared" si="6"/>
        <v>10.31236297632049</v>
      </c>
      <c r="J94" s="125" t="s">
        <v>258</v>
      </c>
      <c r="K94" s="125"/>
    </row>
    <row r="95" spans="2:11">
      <c r="B95" s="107">
        <f>B94+1</f>
        <v>2</v>
      </c>
      <c r="C95" s="128" t="s">
        <v>354</v>
      </c>
      <c r="D95" s="125">
        <v>52538.074561438603</v>
      </c>
      <c r="E95" s="138">
        <f>D95/12</f>
        <v>4378.1728801198833</v>
      </c>
      <c r="F95" s="82">
        <f>13*3*2*50</f>
        <v>3900</v>
      </c>
      <c r="G95" s="139"/>
      <c r="H95" s="125">
        <f t="shared" si="12"/>
        <v>3900</v>
      </c>
      <c r="I95" s="125">
        <f t="shared" si="6"/>
        <v>0.89078254943034818</v>
      </c>
      <c r="J95" s="125" t="s">
        <v>309</v>
      </c>
      <c r="K95" s="125"/>
    </row>
    <row r="96" spans="2:11">
      <c r="B96" s="107">
        <v>2</v>
      </c>
      <c r="C96" s="128" t="s">
        <v>355</v>
      </c>
      <c r="D96" s="125">
        <v>3856.2293968734002</v>
      </c>
      <c r="E96" s="138">
        <f t="shared" ref="E96:E132" si="13">D96/12</f>
        <v>321.35244973945004</v>
      </c>
      <c r="F96" s="10">
        <f>241+187+3575</f>
        <v>4003</v>
      </c>
      <c r="G96" s="139"/>
      <c r="H96" s="125">
        <v>4033</v>
      </c>
      <c r="I96" s="125">
        <f t="shared" si="6"/>
        <v>12.550083259890888</v>
      </c>
      <c r="J96" s="125" t="s">
        <v>309</v>
      </c>
      <c r="K96" s="125"/>
    </row>
    <row r="97" spans="2:11">
      <c r="B97" s="107">
        <f t="shared" ref="B97:B111" si="14">B96+1</f>
        <v>3</v>
      </c>
      <c r="C97" s="128" t="s">
        <v>356</v>
      </c>
      <c r="D97" s="125">
        <v>6461.8464000000004</v>
      </c>
      <c r="E97" s="138">
        <f t="shared" si="13"/>
        <v>538.48720000000003</v>
      </c>
      <c r="F97" s="10">
        <f>5075</f>
        <v>5075</v>
      </c>
      <c r="G97" s="139"/>
      <c r="H97" s="125">
        <f t="shared" si="12"/>
        <v>5075</v>
      </c>
      <c r="I97" s="125">
        <f t="shared" si="6"/>
        <v>9.4245508528336419</v>
      </c>
      <c r="J97" s="125" t="s">
        <v>309</v>
      </c>
      <c r="K97" s="125"/>
    </row>
    <row r="98" spans="2:11">
      <c r="B98" s="107">
        <v>3</v>
      </c>
      <c r="C98" s="128" t="s">
        <v>357</v>
      </c>
      <c r="D98" s="125">
        <v>1296.4656</v>
      </c>
      <c r="E98" s="138">
        <f t="shared" si="13"/>
        <v>108.03879999999999</v>
      </c>
      <c r="F98" s="10">
        <f>613.45</f>
        <v>613.45000000000005</v>
      </c>
      <c r="G98" s="139"/>
      <c r="H98" s="125">
        <f t="shared" si="12"/>
        <v>613.45000000000005</v>
      </c>
      <c r="I98" s="125">
        <f t="shared" si="6"/>
        <v>5.678052699585705</v>
      </c>
      <c r="J98" s="125" t="s">
        <v>309</v>
      </c>
      <c r="K98" s="125"/>
    </row>
    <row r="99" spans="2:11">
      <c r="B99" s="107">
        <f t="shared" si="14"/>
        <v>4</v>
      </c>
      <c r="C99" s="128" t="s">
        <v>358</v>
      </c>
      <c r="D99" s="125">
        <v>8705.9712</v>
      </c>
      <c r="E99" s="138">
        <f t="shared" si="13"/>
        <v>725.49760000000003</v>
      </c>
      <c r="F99" s="10">
        <f>7650</f>
        <v>7650</v>
      </c>
      <c r="G99" s="139"/>
      <c r="H99" s="125">
        <f t="shared" si="12"/>
        <v>7650</v>
      </c>
      <c r="I99" s="125">
        <f t="shared" si="6"/>
        <v>10.544486983830133</v>
      </c>
      <c r="J99" s="125" t="s">
        <v>309</v>
      </c>
      <c r="K99" s="125" t="s">
        <v>256</v>
      </c>
    </row>
    <row r="100" spans="2:11">
      <c r="B100" s="107">
        <v>4</v>
      </c>
      <c r="C100" s="128" t="s">
        <v>359</v>
      </c>
      <c r="D100" s="125">
        <v>433.44009833247799</v>
      </c>
      <c r="E100" s="138">
        <f t="shared" si="13"/>
        <v>36.120008194373163</v>
      </c>
      <c r="F100" s="10">
        <f>291.05</f>
        <v>291.05</v>
      </c>
      <c r="G100" s="139"/>
      <c r="H100" s="125">
        <f t="shared" si="12"/>
        <v>291.05</v>
      </c>
      <c r="I100" s="125">
        <f t="shared" si="6"/>
        <v>8.0578608519070123</v>
      </c>
      <c r="J100" s="125" t="s">
        <v>309</v>
      </c>
      <c r="K100" s="125"/>
    </row>
    <row r="101" spans="2:11">
      <c r="B101" s="107">
        <f t="shared" si="14"/>
        <v>5</v>
      </c>
      <c r="C101" s="128" t="s">
        <v>360</v>
      </c>
      <c r="D101" s="125">
        <v>3089.3319583119601</v>
      </c>
      <c r="E101" s="138">
        <f t="shared" si="13"/>
        <v>257.44432985933003</v>
      </c>
      <c r="F101" s="10">
        <v>9150</v>
      </c>
      <c r="G101" s="139"/>
      <c r="H101" s="125">
        <f t="shared" si="12"/>
        <v>9150</v>
      </c>
      <c r="I101" s="125">
        <f t="shared" si="6"/>
        <v>35.541664502767048</v>
      </c>
      <c r="J101" s="125" t="s">
        <v>309</v>
      </c>
      <c r="K101" s="125"/>
    </row>
    <row r="102" spans="2:11">
      <c r="B102" s="107">
        <v>5</v>
      </c>
      <c r="C102" s="128" t="s">
        <v>361</v>
      </c>
      <c r="D102" s="125">
        <v>677.00241000000005</v>
      </c>
      <c r="E102" s="138">
        <f t="shared" si="13"/>
        <v>56.416867500000002</v>
      </c>
      <c r="F102" s="10"/>
      <c r="G102" s="139"/>
      <c r="H102" s="125">
        <f t="shared" si="12"/>
        <v>0</v>
      </c>
      <c r="I102" s="125">
        <f t="shared" si="6"/>
        <v>0</v>
      </c>
      <c r="J102" s="125" t="s">
        <v>309</v>
      </c>
      <c r="K102" s="125"/>
    </row>
    <row r="103" spans="2:11">
      <c r="B103" s="107">
        <f t="shared" si="14"/>
        <v>6</v>
      </c>
      <c r="C103" s="128" t="s">
        <v>362</v>
      </c>
      <c r="D103" s="125">
        <v>3577.7856000000002</v>
      </c>
      <c r="E103" s="138">
        <f t="shared" si="13"/>
        <v>298.14879999999999</v>
      </c>
      <c r="F103" s="10">
        <v>6100</v>
      </c>
      <c r="G103" s="139"/>
      <c r="H103" s="125">
        <f t="shared" si="12"/>
        <v>6100</v>
      </c>
      <c r="I103" s="125">
        <f t="shared" si="6"/>
        <v>20.459582597682768</v>
      </c>
      <c r="J103" s="125" t="s">
        <v>309</v>
      </c>
      <c r="K103" s="125"/>
    </row>
    <row r="104" spans="2:11">
      <c r="B104" s="107">
        <v>6</v>
      </c>
      <c r="C104" s="128" t="s">
        <v>363</v>
      </c>
      <c r="D104" s="125">
        <v>379.29066</v>
      </c>
      <c r="E104" s="138">
        <f t="shared" si="13"/>
        <v>31.607555000000001</v>
      </c>
      <c r="F104" s="10">
        <v>1744.35</v>
      </c>
      <c r="G104" s="139"/>
      <c r="H104" s="125">
        <f t="shared" si="12"/>
        <v>1744.35</v>
      </c>
      <c r="I104" s="125">
        <f t="shared" si="6"/>
        <v>55.187754952890216</v>
      </c>
      <c r="J104" s="125" t="s">
        <v>309</v>
      </c>
      <c r="K104" s="125"/>
    </row>
    <row r="105" spans="2:11">
      <c r="B105" s="107">
        <f t="shared" si="14"/>
        <v>7</v>
      </c>
      <c r="C105" s="128" t="s">
        <v>364</v>
      </c>
      <c r="D105" s="125">
        <v>8430.6959999999999</v>
      </c>
      <c r="E105" s="138">
        <f t="shared" si="13"/>
        <v>702.55799999999999</v>
      </c>
      <c r="F105" s="10">
        <v>5625</v>
      </c>
      <c r="G105" s="139"/>
      <c r="H105" s="125">
        <f t="shared" si="12"/>
        <v>5625</v>
      </c>
      <c r="I105" s="125">
        <f t="shared" si="6"/>
        <v>8.0064564064461585</v>
      </c>
      <c r="J105" s="125" t="s">
        <v>309</v>
      </c>
      <c r="K105" s="125"/>
    </row>
    <row r="106" spans="2:11">
      <c r="B106" s="107">
        <v>7</v>
      </c>
      <c r="C106" s="128" t="s">
        <v>365</v>
      </c>
      <c r="D106" s="125">
        <v>383.79036000000002</v>
      </c>
      <c r="E106" s="138">
        <f t="shared" si="13"/>
        <v>31.982530000000001</v>
      </c>
      <c r="F106" s="10">
        <v>215.75</v>
      </c>
      <c r="G106" s="139"/>
      <c r="H106" s="125">
        <f t="shared" si="12"/>
        <v>215.75</v>
      </c>
      <c r="I106" s="125">
        <f t="shared" si="6"/>
        <v>6.745870323579779</v>
      </c>
      <c r="J106" s="125" t="s">
        <v>309</v>
      </c>
      <c r="K106" s="125"/>
    </row>
    <row r="107" spans="2:11">
      <c r="B107" s="107">
        <f t="shared" si="14"/>
        <v>8</v>
      </c>
      <c r="C107" s="128" t="s">
        <v>366</v>
      </c>
      <c r="D107" s="125">
        <v>928.34159999999997</v>
      </c>
      <c r="E107" s="138">
        <f t="shared" si="13"/>
        <v>77.361800000000002</v>
      </c>
      <c r="F107" s="10">
        <v>2103</v>
      </c>
      <c r="G107" s="139"/>
      <c r="H107" s="125">
        <f t="shared" si="12"/>
        <v>2103</v>
      </c>
      <c r="I107" s="125">
        <f t="shared" si="6"/>
        <v>27.183959008192673</v>
      </c>
      <c r="J107" s="125" t="s">
        <v>309</v>
      </c>
      <c r="K107" s="125"/>
    </row>
    <row r="108" spans="2:11">
      <c r="B108" s="107">
        <v>8</v>
      </c>
      <c r="C108" s="128" t="s">
        <v>367</v>
      </c>
      <c r="D108" s="125">
        <v>476.71773000000002</v>
      </c>
      <c r="E108" s="138">
        <f t="shared" si="13"/>
        <v>39.726477500000001</v>
      </c>
      <c r="F108" s="10">
        <v>1573.9</v>
      </c>
      <c r="G108" s="139"/>
      <c r="H108" s="125">
        <f t="shared" si="12"/>
        <v>1573.9</v>
      </c>
      <c r="I108" s="125">
        <f t="shared" si="6"/>
        <v>39.618413185513369</v>
      </c>
      <c r="J108" s="125" t="s">
        <v>309</v>
      </c>
      <c r="K108" s="125"/>
    </row>
    <row r="109" spans="2:11">
      <c r="B109" s="107">
        <f t="shared" si="14"/>
        <v>9</v>
      </c>
      <c r="C109" s="128" t="s">
        <v>368</v>
      </c>
      <c r="D109" s="125">
        <v>5841.6863999999996</v>
      </c>
      <c r="E109" s="138">
        <f t="shared" si="13"/>
        <v>486.80719999999997</v>
      </c>
      <c r="F109" s="10">
        <v>5125</v>
      </c>
      <c r="G109" s="139"/>
      <c r="H109" s="125">
        <f t="shared" si="12"/>
        <v>5125</v>
      </c>
      <c r="I109" s="125">
        <f t="shared" si="6"/>
        <v>10.52778184053153</v>
      </c>
      <c r="J109" s="125" t="s">
        <v>309</v>
      </c>
      <c r="K109" s="125"/>
    </row>
    <row r="110" spans="2:11">
      <c r="B110" s="107">
        <v>9</v>
      </c>
      <c r="C110" s="128" t="s">
        <v>369</v>
      </c>
      <c r="D110" s="125">
        <v>828.07713000000001</v>
      </c>
      <c r="E110" s="138">
        <f t="shared" si="13"/>
        <v>69.006427500000001</v>
      </c>
      <c r="F110" s="11"/>
      <c r="G110" s="139"/>
      <c r="H110" s="125">
        <f t="shared" si="12"/>
        <v>0</v>
      </c>
      <c r="I110" s="125">
        <f t="shared" si="6"/>
        <v>0</v>
      </c>
      <c r="J110" s="125" t="s">
        <v>255</v>
      </c>
      <c r="K110" s="125" t="s">
        <v>256</v>
      </c>
    </row>
    <row r="111" spans="2:11">
      <c r="B111" s="107">
        <f t="shared" si="14"/>
        <v>10</v>
      </c>
      <c r="C111" s="128" t="s">
        <v>370</v>
      </c>
      <c r="D111" s="125">
        <v>11578.1664</v>
      </c>
      <c r="E111" s="138">
        <f t="shared" si="13"/>
        <v>964.84720000000004</v>
      </c>
      <c r="F111" s="10">
        <f>6775+13</f>
        <v>6788</v>
      </c>
      <c r="G111" s="139"/>
      <c r="H111" s="125">
        <f t="shared" si="12"/>
        <v>6788</v>
      </c>
      <c r="I111" s="125">
        <f t="shared" si="6"/>
        <v>7.035310876167749</v>
      </c>
      <c r="J111" s="125" t="s">
        <v>309</v>
      </c>
      <c r="K111" s="125"/>
    </row>
    <row r="112" spans="2:11">
      <c r="B112" s="107">
        <v>10</v>
      </c>
      <c r="C112" s="128" t="s">
        <v>371</v>
      </c>
      <c r="D112" s="125">
        <v>1414.75272</v>
      </c>
      <c r="E112" s="138">
        <f t="shared" si="13"/>
        <v>117.89605999999999</v>
      </c>
      <c r="F112" s="10">
        <v>1483.15</v>
      </c>
      <c r="G112" s="139"/>
      <c r="H112" s="125">
        <f t="shared" si="12"/>
        <v>1483.15</v>
      </c>
      <c r="I112" s="125">
        <f t="shared" si="6"/>
        <v>12.580148988863582</v>
      </c>
      <c r="J112" s="125" t="s">
        <v>309</v>
      </c>
      <c r="K112" s="125"/>
    </row>
    <row r="113" spans="2:11">
      <c r="B113" s="107">
        <f t="shared" ref="B113:B125" si="15">B112+1</f>
        <v>11</v>
      </c>
      <c r="C113" s="128" t="s">
        <v>372</v>
      </c>
      <c r="D113" s="125">
        <v>4519.4952000000003</v>
      </c>
      <c r="E113" s="138">
        <f t="shared" si="13"/>
        <v>376.62460000000004</v>
      </c>
      <c r="F113" s="10">
        <f>56+4175</f>
        <v>4231</v>
      </c>
      <c r="G113" s="139"/>
      <c r="H113" s="125">
        <f t="shared" si="12"/>
        <v>4231</v>
      </c>
      <c r="I113" s="125">
        <f t="shared" si="6"/>
        <v>11.233997991634109</v>
      </c>
      <c r="J113" s="125" t="s">
        <v>309</v>
      </c>
      <c r="K113" s="125"/>
    </row>
    <row r="114" spans="2:11">
      <c r="B114" s="107">
        <v>11</v>
      </c>
      <c r="C114" s="128" t="s">
        <v>373</v>
      </c>
      <c r="D114" s="125">
        <v>2177.3144699999998</v>
      </c>
      <c r="E114" s="138">
        <f t="shared" si="13"/>
        <v>181.44287249999999</v>
      </c>
      <c r="F114" s="10">
        <v>449.9</v>
      </c>
      <c r="G114" s="139"/>
      <c r="H114" s="125">
        <f t="shared" si="12"/>
        <v>449.9</v>
      </c>
      <c r="I114" s="125">
        <f t="shared" si="6"/>
        <v>2.4795683280422049</v>
      </c>
      <c r="J114" s="125" t="s">
        <v>309</v>
      </c>
      <c r="K114" s="125"/>
    </row>
    <row r="115" spans="2:11">
      <c r="B115" s="107">
        <f t="shared" si="15"/>
        <v>12</v>
      </c>
      <c r="C115" s="130" t="s">
        <v>374</v>
      </c>
      <c r="D115" s="125">
        <v>11916.8226</v>
      </c>
      <c r="E115" s="138">
        <f t="shared" si="13"/>
        <v>993.06854999999996</v>
      </c>
      <c r="F115" s="10">
        <f>2100</f>
        <v>2100</v>
      </c>
      <c r="G115" s="139"/>
      <c r="H115" s="125">
        <f t="shared" si="12"/>
        <v>2100</v>
      </c>
      <c r="I115" s="125">
        <f t="shared" si="6"/>
        <v>2.1146576437245947</v>
      </c>
      <c r="J115" s="125" t="s">
        <v>309</v>
      </c>
      <c r="K115" s="125"/>
    </row>
    <row r="116" spans="2:11">
      <c r="B116" s="107">
        <v>12</v>
      </c>
      <c r="C116" s="128" t="s">
        <v>375</v>
      </c>
      <c r="D116" s="125">
        <v>595.55795999999998</v>
      </c>
      <c r="E116" s="138">
        <f t="shared" si="13"/>
        <v>49.629829999999998</v>
      </c>
      <c r="F116" s="131">
        <v>322.64999999999998</v>
      </c>
      <c r="G116" s="139"/>
      <c r="H116" s="125">
        <f t="shared" si="12"/>
        <v>322.64999999999998</v>
      </c>
      <c r="I116" s="125">
        <f t="shared" si="6"/>
        <v>6.5011304693165375</v>
      </c>
      <c r="J116" s="125" t="s">
        <v>309</v>
      </c>
      <c r="K116" s="125"/>
    </row>
    <row r="117" spans="2:11">
      <c r="B117" s="107">
        <f t="shared" si="15"/>
        <v>13</v>
      </c>
      <c r="C117" s="128" t="s">
        <v>376</v>
      </c>
      <c r="D117" s="125">
        <v>5535.1656000000003</v>
      </c>
      <c r="E117" s="138">
        <f t="shared" si="13"/>
        <v>461.2638</v>
      </c>
      <c r="F117" s="10">
        <f>11475</f>
        <v>11475</v>
      </c>
      <c r="G117" s="139"/>
      <c r="H117" s="125">
        <f t="shared" si="12"/>
        <v>11475</v>
      </c>
      <c r="I117" s="125">
        <f t="shared" si="6"/>
        <v>24.877304483898367</v>
      </c>
      <c r="J117" s="125" t="s">
        <v>309</v>
      </c>
      <c r="K117" s="125"/>
    </row>
    <row r="118" spans="2:11">
      <c r="B118" s="107">
        <v>13</v>
      </c>
      <c r="C118" s="128" t="s">
        <v>377</v>
      </c>
      <c r="D118" s="125">
        <v>9658.9360799999995</v>
      </c>
      <c r="E118" s="138">
        <f t="shared" si="13"/>
        <v>804.91134</v>
      </c>
      <c r="F118" s="10">
        <v>3212</v>
      </c>
      <c r="G118" s="139"/>
      <c r="H118" s="125">
        <f t="shared" si="12"/>
        <v>3212</v>
      </c>
      <c r="I118" s="125">
        <f t="shared" si="6"/>
        <v>3.9905016122645258</v>
      </c>
      <c r="J118" s="125" t="s">
        <v>309</v>
      </c>
      <c r="K118" s="125" t="s">
        <v>256</v>
      </c>
    </row>
    <row r="119" spans="2:11">
      <c r="B119" s="107">
        <f t="shared" si="15"/>
        <v>14</v>
      </c>
      <c r="C119" s="128" t="s">
        <v>378</v>
      </c>
      <c r="D119" s="125">
        <v>8671.73164</v>
      </c>
      <c r="E119" s="138">
        <f t="shared" si="13"/>
        <v>722.64430333333337</v>
      </c>
      <c r="F119" s="10">
        <f>(27*25)+15</f>
        <v>690</v>
      </c>
      <c r="G119" s="139"/>
      <c r="H119" s="125">
        <f t="shared" si="12"/>
        <v>690</v>
      </c>
      <c r="I119" s="125">
        <f t="shared" ref="I119:I131" si="16">H119/E119</f>
        <v>0.95482659562559979</v>
      </c>
      <c r="J119" s="125" t="s">
        <v>309</v>
      </c>
      <c r="K119" s="125"/>
    </row>
    <row r="120" spans="2:11" ht="15.75">
      <c r="B120" s="107">
        <v>14</v>
      </c>
      <c r="C120" s="132" t="s">
        <v>379</v>
      </c>
      <c r="D120" s="125">
        <v>25500</v>
      </c>
      <c r="E120" s="138">
        <f t="shared" si="13"/>
        <v>2125</v>
      </c>
      <c r="F120" s="126">
        <f>(6*75)+5100</f>
        <v>5550</v>
      </c>
      <c r="G120" s="139"/>
      <c r="H120" s="125">
        <f t="shared" si="12"/>
        <v>5550</v>
      </c>
      <c r="I120" s="125">
        <f t="shared" si="16"/>
        <v>2.611764705882353</v>
      </c>
      <c r="J120" s="125" t="s">
        <v>309</v>
      </c>
      <c r="K120" s="125"/>
    </row>
    <row r="121" spans="2:11">
      <c r="B121" s="107">
        <f t="shared" si="15"/>
        <v>15</v>
      </c>
      <c r="C121" s="128" t="s">
        <v>380</v>
      </c>
      <c r="D121" s="125">
        <v>25500</v>
      </c>
      <c r="E121" s="138">
        <f t="shared" si="13"/>
        <v>2125</v>
      </c>
      <c r="F121" s="10">
        <v>800</v>
      </c>
      <c r="G121" s="139"/>
      <c r="H121" s="125">
        <f t="shared" si="12"/>
        <v>800</v>
      </c>
      <c r="I121" s="125">
        <f t="shared" si="16"/>
        <v>0.37647058823529411</v>
      </c>
      <c r="J121" s="125" t="s">
        <v>255</v>
      </c>
      <c r="K121" s="125" t="s">
        <v>256</v>
      </c>
    </row>
    <row r="122" spans="2:11">
      <c r="B122" s="107">
        <v>15</v>
      </c>
      <c r="C122" s="128" t="s">
        <v>381</v>
      </c>
      <c r="D122" s="125">
        <v>12000</v>
      </c>
      <c r="E122" s="138">
        <f t="shared" si="13"/>
        <v>1000</v>
      </c>
      <c r="F122" s="10">
        <v>0</v>
      </c>
      <c r="G122" s="139"/>
      <c r="H122" s="125">
        <f t="shared" si="12"/>
        <v>0</v>
      </c>
      <c r="I122" s="125">
        <f t="shared" si="16"/>
        <v>0</v>
      </c>
      <c r="J122" s="125" t="s">
        <v>255</v>
      </c>
      <c r="K122" s="125" t="s">
        <v>256</v>
      </c>
    </row>
    <row r="123" spans="2:11">
      <c r="B123" s="107">
        <f t="shared" si="15"/>
        <v>16</v>
      </c>
      <c r="C123" s="128" t="s">
        <v>382</v>
      </c>
      <c r="D123" s="125">
        <v>9647.3080800000007</v>
      </c>
      <c r="E123" s="138">
        <f t="shared" si="13"/>
        <v>803.94234000000006</v>
      </c>
      <c r="F123" s="10">
        <f>2533</f>
        <v>2533</v>
      </c>
      <c r="G123" s="139"/>
      <c r="H123" s="125">
        <f t="shared" si="12"/>
        <v>2533</v>
      </c>
      <c r="I123" s="125">
        <f t="shared" si="16"/>
        <v>3.15072347103898</v>
      </c>
      <c r="J123" s="125" t="s">
        <v>309</v>
      </c>
      <c r="K123" s="125"/>
    </row>
    <row r="124" spans="2:11">
      <c r="B124" s="107">
        <v>16</v>
      </c>
      <c r="C124" s="128" t="s">
        <v>383</v>
      </c>
      <c r="D124" s="125">
        <v>3531.3496799999998</v>
      </c>
      <c r="E124" s="138">
        <f t="shared" si="13"/>
        <v>294.27913999999998</v>
      </c>
      <c r="F124" s="10">
        <f>2617</f>
        <v>2617</v>
      </c>
      <c r="G124" s="139"/>
      <c r="H124" s="125">
        <f t="shared" si="12"/>
        <v>2617</v>
      </c>
      <c r="I124" s="125">
        <f t="shared" si="16"/>
        <v>8.8929171126434579</v>
      </c>
      <c r="J124" s="125" t="s">
        <v>309</v>
      </c>
      <c r="K124" s="125"/>
    </row>
    <row r="125" spans="2:11">
      <c r="B125" s="107">
        <f t="shared" si="15"/>
        <v>17</v>
      </c>
      <c r="C125" s="128" t="s">
        <v>384</v>
      </c>
      <c r="D125" s="125">
        <v>10787.82108</v>
      </c>
      <c r="E125" s="138">
        <f t="shared" si="13"/>
        <v>898.98509000000001</v>
      </c>
      <c r="F125" s="10">
        <f>3108</f>
        <v>3108</v>
      </c>
      <c r="G125" s="139"/>
      <c r="H125" s="125">
        <f t="shared" si="12"/>
        <v>3108</v>
      </c>
      <c r="I125" s="125">
        <f t="shared" si="16"/>
        <v>3.4572319770064261</v>
      </c>
      <c r="J125" s="125" t="s">
        <v>309</v>
      </c>
      <c r="K125" s="125"/>
    </row>
    <row r="126" spans="2:11">
      <c r="B126" s="107">
        <v>17</v>
      </c>
      <c r="C126" s="128" t="s">
        <v>385</v>
      </c>
      <c r="D126" s="125">
        <v>300</v>
      </c>
      <c r="E126" s="138">
        <f t="shared" si="13"/>
        <v>25</v>
      </c>
      <c r="F126" s="10">
        <f>78+160+98</f>
        <v>336</v>
      </c>
      <c r="G126" s="139"/>
      <c r="H126" s="125">
        <f t="shared" si="12"/>
        <v>336</v>
      </c>
      <c r="I126" s="125">
        <f t="shared" si="16"/>
        <v>13.44</v>
      </c>
      <c r="J126" s="125" t="s">
        <v>309</v>
      </c>
      <c r="K126" s="125"/>
    </row>
    <row r="127" spans="2:11">
      <c r="B127" s="107">
        <f t="shared" ref="B127" si="17">B126+1</f>
        <v>18</v>
      </c>
      <c r="C127" s="128" t="s">
        <v>386</v>
      </c>
      <c r="D127" s="125">
        <v>180</v>
      </c>
      <c r="E127" s="138">
        <f t="shared" si="13"/>
        <v>15</v>
      </c>
      <c r="F127" s="10">
        <f>793</f>
        <v>793</v>
      </c>
      <c r="G127" s="139"/>
      <c r="H127" s="125">
        <f t="shared" si="12"/>
        <v>793</v>
      </c>
      <c r="I127" s="125">
        <f t="shared" si="16"/>
        <v>52.866666666666667</v>
      </c>
      <c r="J127" s="125" t="s">
        <v>309</v>
      </c>
      <c r="K127" s="125"/>
    </row>
    <row r="128" spans="2:11">
      <c r="B128" s="107">
        <v>18</v>
      </c>
      <c r="C128" s="128" t="s">
        <v>387</v>
      </c>
      <c r="D128" s="125">
        <v>482.90699999999998</v>
      </c>
      <c r="E128" s="138">
        <f t="shared" si="13"/>
        <v>40.242249999999999</v>
      </c>
      <c r="F128" s="10">
        <f>34</f>
        <v>34</v>
      </c>
      <c r="G128" s="139"/>
      <c r="H128" s="125">
        <f t="shared" si="12"/>
        <v>34</v>
      </c>
      <c r="I128" s="125">
        <f t="shared" si="16"/>
        <v>0.84488317626375264</v>
      </c>
      <c r="J128" s="133" t="s">
        <v>309</v>
      </c>
      <c r="K128" s="125" t="s">
        <v>256</v>
      </c>
    </row>
    <row r="129" spans="2:11">
      <c r="B129" s="107">
        <f t="shared" ref="B129" si="18">B128+1</f>
        <v>19</v>
      </c>
      <c r="C129" s="128" t="s">
        <v>388</v>
      </c>
      <c r="D129" s="125">
        <v>1286.0519999999999</v>
      </c>
      <c r="E129" s="138">
        <f t="shared" si="13"/>
        <v>107.17099999999999</v>
      </c>
      <c r="F129" s="125"/>
      <c r="G129" s="139"/>
      <c r="H129" s="125">
        <f t="shared" si="12"/>
        <v>0</v>
      </c>
      <c r="I129" s="125">
        <f t="shared" si="16"/>
        <v>0</v>
      </c>
      <c r="J129" s="125"/>
      <c r="K129" s="125"/>
    </row>
    <row r="130" spans="2:11">
      <c r="B130" s="107">
        <v>19</v>
      </c>
      <c r="C130" s="128" t="s">
        <v>389</v>
      </c>
      <c r="D130" s="125">
        <v>694.96199999999999</v>
      </c>
      <c r="E130" s="138">
        <f t="shared" si="13"/>
        <v>57.913499999999999</v>
      </c>
      <c r="F130" s="125"/>
      <c r="G130" s="139"/>
      <c r="H130" s="125">
        <f t="shared" si="12"/>
        <v>0</v>
      </c>
      <c r="I130" s="125">
        <f t="shared" si="16"/>
        <v>0</v>
      </c>
      <c r="J130" s="125"/>
      <c r="K130" s="125"/>
    </row>
    <row r="131" spans="2:11">
      <c r="B131" s="107">
        <f t="shared" ref="B131:B144" si="19">B130+1</f>
        <v>20</v>
      </c>
      <c r="C131" s="128" t="s">
        <v>390</v>
      </c>
      <c r="D131" s="125">
        <v>604.84500000000003</v>
      </c>
      <c r="E131" s="138">
        <f t="shared" si="13"/>
        <v>50.403750000000002</v>
      </c>
      <c r="F131" s="125"/>
      <c r="G131" s="139"/>
      <c r="H131" s="125">
        <f t="shared" si="12"/>
        <v>0</v>
      </c>
      <c r="I131" s="125">
        <f t="shared" si="16"/>
        <v>0</v>
      </c>
      <c r="J131" s="125"/>
      <c r="K131" s="125"/>
    </row>
    <row r="132" spans="2:11">
      <c r="B132" s="107">
        <v>20</v>
      </c>
      <c r="C132" s="128" t="s">
        <v>391</v>
      </c>
      <c r="D132" s="125">
        <v>1094.19</v>
      </c>
      <c r="E132" s="138">
        <f t="shared" si="13"/>
        <v>91.182500000000005</v>
      </c>
      <c r="F132" s="125"/>
      <c r="G132" s="139"/>
      <c r="H132" s="125">
        <f t="shared" si="12"/>
        <v>0</v>
      </c>
      <c r="I132" s="125">
        <v>5.3135195898335796</v>
      </c>
      <c r="J132" s="125"/>
      <c r="K132" s="125"/>
    </row>
    <row r="133" spans="2:11">
      <c r="B133" s="107">
        <f t="shared" si="19"/>
        <v>21</v>
      </c>
      <c r="C133" s="128" t="s">
        <v>392</v>
      </c>
      <c r="D133" s="125"/>
      <c r="E133" s="138"/>
      <c r="F133" s="125"/>
      <c r="G133" s="139"/>
      <c r="H133" s="125">
        <f t="shared" si="12"/>
        <v>0</v>
      </c>
      <c r="I133" s="125"/>
      <c r="J133" s="125"/>
      <c r="K133" s="125"/>
    </row>
    <row r="134" spans="2:11">
      <c r="B134" s="107">
        <v>21</v>
      </c>
      <c r="C134" s="128" t="s">
        <v>393</v>
      </c>
      <c r="D134" s="125"/>
      <c r="E134" s="138"/>
      <c r="F134" s="10">
        <f>7345+4779</f>
        <v>12124</v>
      </c>
      <c r="G134" s="139"/>
      <c r="H134" s="125">
        <f t="shared" si="12"/>
        <v>12124</v>
      </c>
      <c r="I134" s="125"/>
      <c r="J134" s="125"/>
      <c r="K134" s="125"/>
    </row>
    <row r="135" spans="2:11">
      <c r="B135" s="107">
        <f t="shared" si="19"/>
        <v>22</v>
      </c>
      <c r="C135" s="128" t="s">
        <v>394</v>
      </c>
      <c r="D135" s="18"/>
      <c r="E135" s="142"/>
      <c r="F135" s="10">
        <f>625+525</f>
        <v>1150</v>
      </c>
      <c r="G135" s="19"/>
      <c r="H135" s="125">
        <f t="shared" si="12"/>
        <v>1150</v>
      </c>
      <c r="I135" s="18"/>
      <c r="J135" s="18"/>
      <c r="K135" s="18"/>
    </row>
    <row r="136" spans="2:11">
      <c r="B136" s="107">
        <v>22</v>
      </c>
      <c r="C136" s="128" t="s">
        <v>395</v>
      </c>
      <c r="D136" s="18"/>
      <c r="E136" s="142"/>
      <c r="F136" s="10">
        <v>1908</v>
      </c>
      <c r="G136" s="19"/>
      <c r="H136" s="125">
        <f t="shared" si="12"/>
        <v>1908</v>
      </c>
      <c r="I136" s="18"/>
      <c r="J136" s="18"/>
      <c r="K136" s="18"/>
    </row>
    <row r="137" spans="2:11">
      <c r="B137" s="107">
        <f t="shared" si="19"/>
        <v>23</v>
      </c>
      <c r="C137" s="128" t="s">
        <v>396</v>
      </c>
      <c r="D137" s="18"/>
      <c r="E137" s="142"/>
      <c r="F137" s="10">
        <v>992</v>
      </c>
      <c r="G137" s="19"/>
      <c r="H137" s="125">
        <f t="shared" si="12"/>
        <v>992</v>
      </c>
      <c r="I137" s="18"/>
      <c r="J137" s="18"/>
      <c r="K137" s="18"/>
    </row>
    <row r="138" spans="2:11">
      <c r="B138" s="107">
        <v>23</v>
      </c>
      <c r="C138" s="128" t="s">
        <v>397</v>
      </c>
      <c r="D138" s="18"/>
      <c r="E138" s="142"/>
      <c r="F138" s="10">
        <f>980</f>
        <v>980</v>
      </c>
      <c r="G138" s="19"/>
      <c r="H138" s="125">
        <f t="shared" si="12"/>
        <v>980</v>
      </c>
      <c r="I138" s="18"/>
      <c r="J138" s="18"/>
      <c r="K138" s="18"/>
    </row>
    <row r="139" spans="2:11">
      <c r="B139" s="107">
        <f t="shared" si="19"/>
        <v>24</v>
      </c>
      <c r="C139" s="128" t="s">
        <v>398</v>
      </c>
      <c r="D139" s="18"/>
      <c r="E139" s="142"/>
      <c r="F139" s="10"/>
      <c r="G139" s="19"/>
      <c r="H139" s="125">
        <f t="shared" si="12"/>
        <v>0</v>
      </c>
      <c r="I139" s="18"/>
      <c r="J139" s="18"/>
      <c r="K139" s="18"/>
    </row>
    <row r="140" spans="2:11">
      <c r="B140" s="107">
        <v>24</v>
      </c>
      <c r="C140" s="128" t="s">
        <v>399</v>
      </c>
      <c r="D140" s="18"/>
      <c r="E140" s="142"/>
      <c r="F140" s="10"/>
      <c r="G140" s="19"/>
      <c r="H140" s="125">
        <f t="shared" si="12"/>
        <v>0</v>
      </c>
      <c r="I140" s="18"/>
      <c r="J140" s="18"/>
      <c r="K140" s="18"/>
    </row>
    <row r="141" spans="2:11">
      <c r="B141" s="107">
        <f t="shared" si="19"/>
        <v>25</v>
      </c>
      <c r="C141" s="128" t="s">
        <v>400</v>
      </c>
      <c r="D141" s="18"/>
      <c r="E141" s="142"/>
      <c r="F141" s="10">
        <f>471</f>
        <v>471</v>
      </c>
      <c r="G141" s="19"/>
      <c r="H141" s="125">
        <f t="shared" si="12"/>
        <v>471</v>
      </c>
      <c r="I141" s="18"/>
      <c r="J141" s="18"/>
      <c r="K141" s="18"/>
    </row>
    <row r="142" spans="2:11">
      <c r="B142" s="107">
        <v>25</v>
      </c>
      <c r="C142" s="128" t="s">
        <v>401</v>
      </c>
      <c r="D142" s="18"/>
      <c r="E142" s="142"/>
      <c r="F142" s="10">
        <v>2318</v>
      </c>
      <c r="G142" s="19"/>
      <c r="H142" s="125">
        <f t="shared" si="12"/>
        <v>2318</v>
      </c>
      <c r="I142" s="18"/>
      <c r="J142" s="18"/>
      <c r="K142" s="18"/>
    </row>
    <row r="143" spans="2:11">
      <c r="B143" s="107">
        <f t="shared" si="19"/>
        <v>26</v>
      </c>
      <c r="C143" s="128" t="s">
        <v>402</v>
      </c>
      <c r="D143" s="18"/>
      <c r="E143" s="142"/>
      <c r="F143" s="10">
        <f>4721</f>
        <v>4721</v>
      </c>
      <c r="G143" s="19"/>
      <c r="H143" s="125">
        <f t="shared" si="12"/>
        <v>4721</v>
      </c>
      <c r="I143" s="18"/>
      <c r="J143" s="18"/>
      <c r="K143" s="18"/>
    </row>
  </sheetData>
  <mergeCells count="1">
    <mergeCell ref="C51:K5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opLeftCell="B1" workbookViewId="0">
      <pane xSplit="7" ySplit="12" topLeftCell="L28" activePane="bottomRight" state="frozen"/>
      <selection pane="topRight"/>
      <selection pane="bottomLeft"/>
      <selection pane="bottomRight" activeCell="O33" sqref="O33"/>
    </sheetView>
  </sheetViews>
  <sheetFormatPr defaultColWidth="9" defaultRowHeight="15"/>
  <cols>
    <col min="1" max="1" width="7.140625" customWidth="1"/>
    <col min="2" max="2" width="7.140625" style="1" customWidth="1"/>
    <col min="3" max="3" width="33.140625" customWidth="1"/>
    <col min="4" max="4" width="17" customWidth="1"/>
    <col min="5" max="5" width="11.5703125" customWidth="1"/>
    <col min="7" max="7" width="9.140625" customWidth="1"/>
    <col min="8" max="9" width="9" style="1"/>
    <col min="10" max="10" width="9.28515625" style="1" customWidth="1"/>
    <col min="11" max="11" width="9.85546875" customWidth="1"/>
    <col min="12" max="12" width="10.85546875" style="1" customWidth="1"/>
    <col min="13" max="13" width="16" style="1" customWidth="1"/>
    <col min="14" max="14" width="33.42578125" customWidth="1"/>
    <col min="15" max="15" width="22.85546875" customWidth="1"/>
    <col min="16" max="16" width="20.140625" customWidth="1"/>
    <col min="17" max="17" width="17.7109375" customWidth="1"/>
  </cols>
  <sheetData>
    <row r="1" spans="1:17" ht="29.25">
      <c r="B1" s="2" t="s">
        <v>239</v>
      </c>
    </row>
    <row r="2" spans="1:17" ht="15.75">
      <c r="C2" s="8">
        <f ca="1">D2-1</f>
        <v>46043.747614236112</v>
      </c>
      <c r="D2" s="9">
        <f ca="1">NOW()</f>
        <v>46044.747614236112</v>
      </c>
      <c r="E2" s="9"/>
      <c r="F2" s="10"/>
      <c r="G2" s="11" t="str">
        <f ca="1">"Week"&amp;" "&amp;WEEKNUM(C2)</f>
        <v>Week 4</v>
      </c>
      <c r="H2" s="10"/>
      <c r="I2" s="10"/>
      <c r="J2" s="10"/>
      <c r="K2" s="18"/>
      <c r="L2" s="10"/>
      <c r="M2" s="10"/>
      <c r="N2" s="10"/>
    </row>
    <row r="3" spans="1:17">
      <c r="A3" s="18"/>
      <c r="B3" s="80" t="s">
        <v>0</v>
      </c>
      <c r="C3" s="63" t="s">
        <v>1</v>
      </c>
      <c r="D3" s="64" t="s">
        <v>2</v>
      </c>
      <c r="E3" s="64" t="s">
        <v>404</v>
      </c>
      <c r="F3" s="63" t="s">
        <v>3</v>
      </c>
      <c r="G3" s="63" t="s">
        <v>4</v>
      </c>
      <c r="H3" s="64" t="s">
        <v>5</v>
      </c>
      <c r="I3" s="64" t="s">
        <v>6</v>
      </c>
      <c r="J3" s="64" t="s">
        <v>7</v>
      </c>
      <c r="K3" s="63" t="s">
        <v>8</v>
      </c>
      <c r="L3" s="64" t="s">
        <v>9</v>
      </c>
      <c r="M3" s="64" t="s">
        <v>10</v>
      </c>
      <c r="N3" s="64" t="s">
        <v>11</v>
      </c>
      <c r="P3" t="s">
        <v>12</v>
      </c>
      <c r="Q3" t="s">
        <v>13</v>
      </c>
    </row>
    <row r="4" spans="1:17">
      <c r="A4" s="81" t="s">
        <v>0</v>
      </c>
      <c r="B4" s="72">
        <v>1</v>
      </c>
      <c r="C4" s="82" t="s">
        <v>14</v>
      </c>
      <c r="D4" s="10">
        <v>96</v>
      </c>
      <c r="E4" s="10"/>
      <c r="F4" s="12">
        <v>2358</v>
      </c>
      <c r="G4" s="18">
        <f>192</f>
        <v>192</v>
      </c>
      <c r="H4" s="10"/>
      <c r="I4" s="57">
        <f>391</f>
        <v>391</v>
      </c>
      <c r="J4" s="95">
        <f>425-10+480</f>
        <v>895</v>
      </c>
      <c r="K4" s="18"/>
      <c r="L4" s="87">
        <f>K4+J4+I4+H4+G4+F4</f>
        <v>3836</v>
      </c>
      <c r="M4" s="87">
        <f>L4/D4</f>
        <v>39.958333333333336</v>
      </c>
      <c r="N4" s="88" t="s">
        <v>12</v>
      </c>
      <c r="O4" s="147" t="s">
        <v>405</v>
      </c>
    </row>
    <row r="5" spans="1:17" ht="15.75">
      <c r="A5" s="71">
        <v>1</v>
      </c>
      <c r="B5" s="83">
        <f t="shared" ref="B5:B31" si="0">B4+1</f>
        <v>2</v>
      </c>
      <c r="C5" s="10" t="s">
        <v>15</v>
      </c>
      <c r="D5" s="10">
        <v>96</v>
      </c>
      <c r="E5" s="10">
        <v>1296</v>
      </c>
      <c r="F5" s="12">
        <v>2256</v>
      </c>
      <c r="G5" s="18"/>
      <c r="H5" s="10"/>
      <c r="I5" s="57">
        <f>48</f>
        <v>48</v>
      </c>
      <c r="J5" s="96">
        <f>576</f>
        <v>576</v>
      </c>
      <c r="K5" s="18"/>
      <c r="L5" s="87">
        <f t="shared" ref="L5:L31" si="1">K5+J5+I5+H5+G5+F5</f>
        <v>2880</v>
      </c>
      <c r="M5" s="87">
        <f t="shared" ref="M5:M31" si="2">L5/D5</f>
        <v>30</v>
      </c>
      <c r="N5" s="88" t="s">
        <v>12</v>
      </c>
      <c r="O5" s="28" t="s">
        <v>230</v>
      </c>
    </row>
    <row r="6" spans="1:17" ht="15.75">
      <c r="A6" s="15">
        <f t="shared" ref="A6:A31" si="3">A5+1</f>
        <v>2</v>
      </c>
      <c r="B6" s="83">
        <f t="shared" si="0"/>
        <v>3</v>
      </c>
      <c r="C6" s="10" t="s">
        <v>16</v>
      </c>
      <c r="D6" s="10">
        <v>216</v>
      </c>
      <c r="E6" s="10"/>
      <c r="F6" s="12"/>
      <c r="G6" s="18"/>
      <c r="H6" s="10"/>
      <c r="I6" s="57">
        <v>0</v>
      </c>
      <c r="J6" s="96">
        <v>0</v>
      </c>
      <c r="K6" s="18"/>
      <c r="L6" s="87">
        <f t="shared" si="1"/>
        <v>0</v>
      </c>
      <c r="M6" s="87">
        <f t="shared" si="2"/>
        <v>0</v>
      </c>
      <c r="N6" s="89" t="s">
        <v>13</v>
      </c>
    </row>
    <row r="7" spans="1:17" ht="15.75">
      <c r="A7" s="15">
        <f t="shared" si="3"/>
        <v>3</v>
      </c>
      <c r="B7" s="84">
        <f t="shared" si="0"/>
        <v>4</v>
      </c>
      <c r="C7" s="10" t="s">
        <v>17</v>
      </c>
      <c r="D7" s="10">
        <v>96</v>
      </c>
      <c r="E7" s="10">
        <f>751</f>
        <v>751</v>
      </c>
      <c r="F7" s="12">
        <v>5</v>
      </c>
      <c r="G7" s="18"/>
      <c r="H7" s="10"/>
      <c r="I7" s="57">
        <f>47</f>
        <v>47</v>
      </c>
      <c r="J7" s="96">
        <f>75</f>
        <v>75</v>
      </c>
      <c r="K7" s="18"/>
      <c r="L7" s="87">
        <f t="shared" si="1"/>
        <v>127</v>
      </c>
      <c r="M7" s="87">
        <f t="shared" si="2"/>
        <v>1.3229166666666667</v>
      </c>
      <c r="N7" s="88" t="s">
        <v>13</v>
      </c>
      <c r="O7" s="148" t="s">
        <v>234</v>
      </c>
    </row>
    <row r="8" spans="1:17" s="79" customFormat="1" ht="15.75">
      <c r="A8" s="85">
        <f t="shared" si="3"/>
        <v>4</v>
      </c>
      <c r="B8" s="83">
        <f t="shared" si="0"/>
        <v>5</v>
      </c>
      <c r="C8" s="10" t="s">
        <v>19</v>
      </c>
      <c r="D8" s="10">
        <v>192</v>
      </c>
      <c r="E8" s="10"/>
      <c r="F8" s="12"/>
      <c r="G8" s="18"/>
      <c r="H8" s="10">
        <v>0</v>
      </c>
      <c r="I8" s="57"/>
      <c r="J8" s="96"/>
      <c r="K8" s="18"/>
      <c r="L8" s="87">
        <f t="shared" si="1"/>
        <v>0</v>
      </c>
      <c r="M8" s="87">
        <f t="shared" si="2"/>
        <v>0</v>
      </c>
      <c r="N8" s="89" t="s">
        <v>13</v>
      </c>
      <c r="O8" s="90"/>
    </row>
    <row r="9" spans="1:17" ht="15.75">
      <c r="A9" s="15">
        <f t="shared" si="3"/>
        <v>5</v>
      </c>
      <c r="B9" s="83">
        <f t="shared" si="0"/>
        <v>6</v>
      </c>
      <c r="C9" s="10" t="s">
        <v>20</v>
      </c>
      <c r="D9" s="10">
        <v>12</v>
      </c>
      <c r="E9" s="10"/>
      <c r="F9" s="12">
        <v>9</v>
      </c>
      <c r="G9" s="18">
        <f>26</f>
        <v>26</v>
      </c>
      <c r="H9" s="10">
        <v>0</v>
      </c>
      <c r="I9" s="57">
        <f>3</f>
        <v>3</v>
      </c>
      <c r="J9" s="96">
        <f>89</f>
        <v>89</v>
      </c>
      <c r="K9" s="18"/>
      <c r="L9" s="87">
        <f t="shared" si="1"/>
        <v>127</v>
      </c>
      <c r="M9" s="87">
        <f t="shared" si="2"/>
        <v>10.583333333333334</v>
      </c>
      <c r="N9" s="89" t="s">
        <v>12</v>
      </c>
      <c r="O9" s="147" t="s">
        <v>229</v>
      </c>
    </row>
    <row r="10" spans="1:17" ht="15.75">
      <c r="A10" s="15">
        <f t="shared" si="3"/>
        <v>6</v>
      </c>
      <c r="B10" s="83">
        <f t="shared" si="0"/>
        <v>7</v>
      </c>
      <c r="C10" s="10" t="s">
        <v>21</v>
      </c>
      <c r="D10" s="10">
        <v>12</v>
      </c>
      <c r="E10" s="10">
        <f>65</f>
        <v>65</v>
      </c>
      <c r="F10" s="12">
        <f>1031</f>
        <v>1031</v>
      </c>
      <c r="G10" s="12"/>
      <c r="H10" s="10">
        <v>0</v>
      </c>
      <c r="I10" s="57">
        <f>200</f>
        <v>200</v>
      </c>
      <c r="J10" s="96">
        <f>30+120</f>
        <v>150</v>
      </c>
      <c r="K10" s="18"/>
      <c r="L10" s="87">
        <f t="shared" si="1"/>
        <v>1381</v>
      </c>
      <c r="M10" s="87">
        <f t="shared" si="2"/>
        <v>115.08333333333333</v>
      </c>
      <c r="N10" s="89" t="s">
        <v>12</v>
      </c>
      <c r="O10" s="147" t="s">
        <v>406</v>
      </c>
    </row>
    <row r="11" spans="1:17" ht="15.75">
      <c r="A11" s="15">
        <f t="shared" si="3"/>
        <v>7</v>
      </c>
      <c r="B11" s="83">
        <f t="shared" si="0"/>
        <v>8</v>
      </c>
      <c r="C11" s="10" t="s">
        <v>22</v>
      </c>
      <c r="D11" s="10">
        <v>12</v>
      </c>
      <c r="E11" s="10"/>
      <c r="F11" s="12"/>
      <c r="G11" s="18"/>
      <c r="H11" s="10"/>
      <c r="I11" s="10"/>
      <c r="J11" s="97"/>
      <c r="K11" s="18"/>
      <c r="L11" s="87">
        <f t="shared" si="1"/>
        <v>0</v>
      </c>
      <c r="M11" s="87">
        <f t="shared" si="2"/>
        <v>0</v>
      </c>
      <c r="N11" s="89" t="s">
        <v>13</v>
      </c>
      <c r="O11" s="90"/>
    </row>
    <row r="12" spans="1:17" ht="15.75">
      <c r="A12" s="15">
        <f t="shared" si="3"/>
        <v>8</v>
      </c>
      <c r="B12" s="83">
        <f t="shared" si="0"/>
        <v>9</v>
      </c>
      <c r="C12" s="10" t="s">
        <v>24</v>
      </c>
      <c r="D12" s="10">
        <v>1</v>
      </c>
      <c r="E12" s="10"/>
      <c r="F12" s="12">
        <v>15</v>
      </c>
      <c r="G12" s="18"/>
      <c r="H12" s="10"/>
      <c r="I12" s="10">
        <f>10</f>
        <v>10</v>
      </c>
      <c r="J12" s="97">
        <f>2</f>
        <v>2</v>
      </c>
      <c r="K12" s="18"/>
      <c r="L12" s="87">
        <f t="shared" si="1"/>
        <v>27</v>
      </c>
      <c r="M12" s="87">
        <f t="shared" si="2"/>
        <v>27</v>
      </c>
      <c r="N12" s="89" t="s">
        <v>25</v>
      </c>
      <c r="O12" s="90" t="s">
        <v>26</v>
      </c>
    </row>
    <row r="13" spans="1:17" ht="15.75">
      <c r="A13" s="15"/>
      <c r="B13" s="83">
        <f t="shared" si="0"/>
        <v>10</v>
      </c>
      <c r="C13" s="10" t="s">
        <v>27</v>
      </c>
      <c r="D13" s="10">
        <v>12</v>
      </c>
      <c r="E13" s="10"/>
      <c r="F13" s="18"/>
      <c r="G13" s="18"/>
      <c r="H13" s="10"/>
      <c r="I13" s="10"/>
      <c r="J13" s="97"/>
      <c r="K13" s="18"/>
      <c r="L13" s="87">
        <f t="shared" si="1"/>
        <v>0</v>
      </c>
      <c r="M13" s="87">
        <f t="shared" si="2"/>
        <v>0</v>
      </c>
      <c r="N13" s="88" t="s">
        <v>13</v>
      </c>
      <c r="O13" s="90"/>
    </row>
    <row r="14" spans="1:17" ht="15.75">
      <c r="A14" s="15">
        <f>A12+1</f>
        <v>9</v>
      </c>
      <c r="B14" s="84">
        <f t="shared" si="0"/>
        <v>11</v>
      </c>
      <c r="C14" s="10" t="s">
        <v>28</v>
      </c>
      <c r="D14" s="10">
        <v>12</v>
      </c>
      <c r="E14" s="10"/>
      <c r="F14" s="12">
        <f>12*12+3</f>
        <v>147</v>
      </c>
      <c r="G14" s="18"/>
      <c r="H14" s="10"/>
      <c r="I14" s="10">
        <v>12</v>
      </c>
      <c r="J14" s="97">
        <f>60+60</f>
        <v>120</v>
      </c>
      <c r="K14" s="18"/>
      <c r="L14" s="87">
        <f t="shared" si="1"/>
        <v>279</v>
      </c>
      <c r="M14" s="87">
        <f t="shared" si="2"/>
        <v>23.25</v>
      </c>
      <c r="N14" s="88" t="s">
        <v>13</v>
      </c>
      <c r="O14" s="90" t="s">
        <v>221</v>
      </c>
    </row>
    <row r="15" spans="1:17" s="79" customFormat="1" ht="15.75">
      <c r="A15" s="85">
        <f t="shared" si="3"/>
        <v>10</v>
      </c>
      <c r="B15" s="83">
        <f t="shared" si="0"/>
        <v>12</v>
      </c>
      <c r="C15" s="10" t="s">
        <v>29</v>
      </c>
      <c r="D15" s="10">
        <v>96</v>
      </c>
      <c r="E15" s="10">
        <v>2</v>
      </c>
      <c r="F15" s="12"/>
      <c r="G15" s="18"/>
      <c r="H15" s="10"/>
      <c r="I15" s="10">
        <f>28</f>
        <v>28</v>
      </c>
      <c r="J15" s="96">
        <f>736</f>
        <v>736</v>
      </c>
      <c r="K15" s="18"/>
      <c r="L15" s="87">
        <f t="shared" si="1"/>
        <v>764</v>
      </c>
      <c r="M15" s="87">
        <f t="shared" si="2"/>
        <v>7.958333333333333</v>
      </c>
      <c r="N15" s="89" t="s">
        <v>13</v>
      </c>
      <c r="O15" s="148" t="s">
        <v>405</v>
      </c>
    </row>
    <row r="16" spans="1:17" ht="15.75">
      <c r="A16" s="15">
        <f t="shared" si="3"/>
        <v>11</v>
      </c>
      <c r="B16" s="83">
        <f t="shared" si="0"/>
        <v>13</v>
      </c>
      <c r="C16" s="10" t="s">
        <v>30</v>
      </c>
      <c r="D16" s="10">
        <v>12</v>
      </c>
      <c r="E16" s="10"/>
      <c r="F16" s="18"/>
      <c r="G16" s="18"/>
      <c r="H16" s="10"/>
      <c r="I16" s="10"/>
      <c r="J16" s="97">
        <v>0</v>
      </c>
      <c r="K16" s="18"/>
      <c r="L16" s="87">
        <f t="shared" si="1"/>
        <v>0</v>
      </c>
      <c r="M16" s="87">
        <f t="shared" si="2"/>
        <v>0</v>
      </c>
      <c r="N16" s="89" t="s">
        <v>13</v>
      </c>
      <c r="O16" s="90"/>
    </row>
    <row r="17" spans="1:15" ht="15.75">
      <c r="A17" s="15">
        <f t="shared" si="3"/>
        <v>12</v>
      </c>
      <c r="B17" s="83">
        <f t="shared" si="0"/>
        <v>14</v>
      </c>
      <c r="C17" s="65" t="s">
        <v>31</v>
      </c>
      <c r="D17" s="10">
        <v>96</v>
      </c>
      <c r="E17" s="10"/>
      <c r="F17" s="12">
        <v>1720</v>
      </c>
      <c r="G17" s="18"/>
      <c r="H17" s="10"/>
      <c r="I17" s="57">
        <f>288</f>
        <v>288</v>
      </c>
      <c r="J17" s="97">
        <f>62</f>
        <v>62</v>
      </c>
      <c r="K17" s="18"/>
      <c r="L17" s="87">
        <f t="shared" si="1"/>
        <v>2070</v>
      </c>
      <c r="M17" s="87">
        <f t="shared" si="2"/>
        <v>21.5625</v>
      </c>
      <c r="N17" s="88" t="s">
        <v>12</v>
      </c>
      <c r="O17" s="148" t="s">
        <v>407</v>
      </c>
    </row>
    <row r="18" spans="1:15" ht="15.75">
      <c r="A18" s="15">
        <f t="shared" si="3"/>
        <v>13</v>
      </c>
      <c r="B18" s="83">
        <f t="shared" si="0"/>
        <v>15</v>
      </c>
      <c r="C18" s="65" t="s">
        <v>32</v>
      </c>
      <c r="D18" s="65">
        <v>96</v>
      </c>
      <c r="E18" s="65">
        <v>2</v>
      </c>
      <c r="F18" s="12">
        <v>357</v>
      </c>
      <c r="G18" s="18">
        <v>192</v>
      </c>
      <c r="H18" s="10"/>
      <c r="I18" s="10">
        <f>158</f>
        <v>158</v>
      </c>
      <c r="J18" s="97">
        <f>770+288</f>
        <v>1058</v>
      </c>
      <c r="K18" s="18"/>
      <c r="L18" s="87">
        <f t="shared" si="1"/>
        <v>1765</v>
      </c>
      <c r="M18" s="87">
        <f t="shared" si="2"/>
        <v>18.385416666666668</v>
      </c>
      <c r="N18" s="89" t="s">
        <v>12</v>
      </c>
      <c r="O18" s="90" t="s">
        <v>233</v>
      </c>
    </row>
    <row r="19" spans="1:15" ht="15.75">
      <c r="A19" s="15">
        <f t="shared" si="3"/>
        <v>14</v>
      </c>
      <c r="B19" s="83">
        <f t="shared" si="0"/>
        <v>16</v>
      </c>
      <c r="C19" s="65" t="s">
        <v>33</v>
      </c>
      <c r="D19" s="65">
        <v>12</v>
      </c>
      <c r="E19" s="65">
        <v>2</v>
      </c>
      <c r="F19" s="18">
        <v>70</v>
      </c>
      <c r="G19" s="12">
        <f>6</f>
        <v>6</v>
      </c>
      <c r="H19" s="10"/>
      <c r="I19" s="57"/>
      <c r="J19" s="96">
        <f>46</f>
        <v>46</v>
      </c>
      <c r="K19" s="18"/>
      <c r="L19" s="87">
        <f t="shared" si="1"/>
        <v>122</v>
      </c>
      <c r="M19" s="87">
        <f t="shared" si="2"/>
        <v>10.166666666666666</v>
      </c>
      <c r="N19" s="89" t="s">
        <v>12</v>
      </c>
      <c r="O19" s="90" t="s">
        <v>233</v>
      </c>
    </row>
    <row r="20" spans="1:15" ht="15.75">
      <c r="A20" s="15">
        <f t="shared" si="3"/>
        <v>15</v>
      </c>
      <c r="B20" s="83">
        <f t="shared" si="0"/>
        <v>17</v>
      </c>
      <c r="C20" s="65" t="s">
        <v>34</v>
      </c>
      <c r="D20" s="65">
        <v>96</v>
      </c>
      <c r="E20" s="65">
        <v>4</v>
      </c>
      <c r="F20" s="18"/>
      <c r="G20" s="12"/>
      <c r="H20" s="10"/>
      <c r="I20" s="10"/>
      <c r="J20" s="96"/>
      <c r="K20" s="18"/>
      <c r="L20" s="87">
        <f t="shared" si="1"/>
        <v>0</v>
      </c>
      <c r="M20" s="87">
        <f t="shared" si="2"/>
        <v>0</v>
      </c>
      <c r="N20" s="88" t="s">
        <v>12</v>
      </c>
      <c r="O20" s="90"/>
    </row>
    <row r="21" spans="1:15" ht="15.75">
      <c r="A21" s="15">
        <f t="shared" si="3"/>
        <v>16</v>
      </c>
      <c r="B21" s="83">
        <f t="shared" si="0"/>
        <v>18</v>
      </c>
      <c r="C21" s="65" t="s">
        <v>35</v>
      </c>
      <c r="D21" s="65">
        <v>192</v>
      </c>
      <c r="E21" s="65"/>
      <c r="F21" s="12">
        <v>678</v>
      </c>
      <c r="G21" s="12"/>
      <c r="H21" s="10"/>
      <c r="I21" s="10">
        <f>216</f>
        <v>216</v>
      </c>
      <c r="J21" s="97">
        <f>585+576</f>
        <v>1161</v>
      </c>
      <c r="K21" s="18"/>
      <c r="L21" s="87">
        <f t="shared" si="1"/>
        <v>2055</v>
      </c>
      <c r="M21" s="87">
        <f t="shared" si="2"/>
        <v>10.703125</v>
      </c>
      <c r="N21" s="89" t="s">
        <v>13</v>
      </c>
      <c r="O21" s="105" t="s">
        <v>229</v>
      </c>
    </row>
    <row r="22" spans="1:15" ht="15.75">
      <c r="A22" s="15">
        <f t="shared" si="3"/>
        <v>17</v>
      </c>
      <c r="B22" s="83">
        <f t="shared" si="0"/>
        <v>19</v>
      </c>
      <c r="C22" s="65" t="s">
        <v>36</v>
      </c>
      <c r="D22" s="65">
        <v>12</v>
      </c>
      <c r="E22" s="65"/>
      <c r="F22" s="12">
        <v>1</v>
      </c>
      <c r="G22" s="18">
        <v>19</v>
      </c>
      <c r="H22" s="10"/>
      <c r="I22" s="57">
        <f>22</f>
        <v>22</v>
      </c>
      <c r="J22" s="96">
        <f>0</f>
        <v>0</v>
      </c>
      <c r="K22" s="18"/>
      <c r="L22" s="87">
        <f t="shared" si="1"/>
        <v>42</v>
      </c>
      <c r="M22" s="87">
        <f t="shared" si="2"/>
        <v>3.5</v>
      </c>
      <c r="N22" s="89" t="s">
        <v>12</v>
      </c>
      <c r="O22" s="90" t="s">
        <v>222</v>
      </c>
    </row>
    <row r="23" spans="1:15" ht="15.75">
      <c r="A23" s="15">
        <f t="shared" si="3"/>
        <v>18</v>
      </c>
      <c r="B23" s="83">
        <f t="shared" si="0"/>
        <v>20</v>
      </c>
      <c r="C23" s="10" t="s">
        <v>37</v>
      </c>
      <c r="D23" s="65">
        <v>96</v>
      </c>
      <c r="E23" s="65"/>
      <c r="F23" s="12">
        <v>199</v>
      </c>
      <c r="G23" s="12">
        <f>40</f>
        <v>40</v>
      </c>
      <c r="H23" s="10"/>
      <c r="I23" s="10">
        <f>236</f>
        <v>236</v>
      </c>
      <c r="J23" s="97">
        <f>871-192</f>
        <v>679</v>
      </c>
      <c r="K23" s="18"/>
      <c r="L23" s="87">
        <f t="shared" si="1"/>
        <v>1154</v>
      </c>
      <c r="M23" s="87">
        <f t="shared" si="2"/>
        <v>12.020833333333334</v>
      </c>
      <c r="N23" s="91" t="s">
        <v>12</v>
      </c>
      <c r="O23" s="90" t="s">
        <v>233</v>
      </c>
    </row>
    <row r="24" spans="1:15" ht="15.75">
      <c r="A24" s="15">
        <f t="shared" si="3"/>
        <v>19</v>
      </c>
      <c r="B24" s="83">
        <f t="shared" si="0"/>
        <v>21</v>
      </c>
      <c r="C24" s="65" t="s">
        <v>39</v>
      </c>
      <c r="D24" s="65">
        <v>12</v>
      </c>
      <c r="E24" s="65"/>
      <c r="F24" s="12">
        <f>248+492+498</f>
        <v>1238</v>
      </c>
      <c r="G24" s="18">
        <f>6+12-12</f>
        <v>6</v>
      </c>
      <c r="H24" s="10"/>
      <c r="I24" s="57">
        <f>80</f>
        <v>80</v>
      </c>
      <c r="J24" s="96">
        <f>59</f>
        <v>59</v>
      </c>
      <c r="K24" s="18"/>
      <c r="L24" s="87">
        <f t="shared" si="1"/>
        <v>1383</v>
      </c>
      <c r="M24" s="87">
        <f t="shared" si="2"/>
        <v>115.25</v>
      </c>
      <c r="N24" s="92" t="s">
        <v>12</v>
      </c>
      <c r="O24" s="90" t="s">
        <v>231</v>
      </c>
    </row>
    <row r="25" spans="1:15" ht="15.75">
      <c r="A25" s="15">
        <f t="shared" si="3"/>
        <v>20</v>
      </c>
      <c r="B25" s="83">
        <f t="shared" si="0"/>
        <v>22</v>
      </c>
      <c r="C25" s="10" t="s">
        <v>41</v>
      </c>
      <c r="D25" s="65">
        <v>12</v>
      </c>
      <c r="E25" s="65"/>
      <c r="F25" s="12">
        <f>(6*5+4)*12+3</f>
        <v>411</v>
      </c>
      <c r="G25" s="18">
        <v>20</v>
      </c>
      <c r="H25" s="10"/>
      <c r="I25" s="10">
        <f>240</f>
        <v>240</v>
      </c>
      <c r="J25" s="97">
        <v>0</v>
      </c>
      <c r="K25" s="18"/>
      <c r="L25" s="87">
        <f t="shared" si="1"/>
        <v>671</v>
      </c>
      <c r="M25" s="87">
        <f t="shared" si="2"/>
        <v>55.916666666666664</v>
      </c>
      <c r="N25" s="89" t="s">
        <v>25</v>
      </c>
      <c r="O25" s="90" t="s">
        <v>229</v>
      </c>
    </row>
    <row r="26" spans="1:15" ht="15.75">
      <c r="A26" s="15">
        <f t="shared" si="3"/>
        <v>21</v>
      </c>
      <c r="B26" s="83">
        <f t="shared" si="0"/>
        <v>23</v>
      </c>
      <c r="C26" s="10" t="s">
        <v>42</v>
      </c>
      <c r="D26" s="10">
        <v>1</v>
      </c>
      <c r="E26" s="10"/>
      <c r="F26" s="18"/>
      <c r="G26" s="18"/>
      <c r="H26" s="10"/>
      <c r="I26" s="10"/>
      <c r="J26" s="97"/>
      <c r="K26" s="18"/>
      <c r="L26" s="87"/>
      <c r="M26" s="87">
        <f t="shared" si="2"/>
        <v>0</v>
      </c>
      <c r="N26" s="89" t="s">
        <v>25</v>
      </c>
      <c r="O26" s="90"/>
    </row>
    <row r="27" spans="1:15" ht="15.75">
      <c r="A27" s="15"/>
      <c r="B27" s="83">
        <f t="shared" si="0"/>
        <v>24</v>
      </c>
      <c r="C27" s="65" t="s">
        <v>43</v>
      </c>
      <c r="D27" s="65">
        <v>96</v>
      </c>
      <c r="E27" s="65">
        <v>11</v>
      </c>
      <c r="F27" s="12">
        <f>3372</f>
        <v>3372</v>
      </c>
      <c r="G27" s="18"/>
      <c r="H27" s="10"/>
      <c r="I27" s="10">
        <f>224</f>
        <v>224</v>
      </c>
      <c r="J27" s="96">
        <f>961</f>
        <v>961</v>
      </c>
      <c r="K27" s="18"/>
      <c r="L27" s="87">
        <f t="shared" si="1"/>
        <v>4557</v>
      </c>
      <c r="M27" s="87">
        <f t="shared" si="2"/>
        <v>47.46875</v>
      </c>
      <c r="N27" s="89" t="s">
        <v>13</v>
      </c>
      <c r="O27" s="90" t="s">
        <v>234</v>
      </c>
    </row>
    <row r="28" spans="1:15" ht="15.75">
      <c r="A28" s="15">
        <f>A26+1</f>
        <v>22</v>
      </c>
      <c r="B28" s="83">
        <f t="shared" si="0"/>
        <v>25</v>
      </c>
      <c r="C28" s="10" t="s">
        <v>44</v>
      </c>
      <c r="D28" s="10">
        <v>192</v>
      </c>
      <c r="E28" s="10"/>
      <c r="F28" s="10"/>
      <c r="G28" s="10"/>
      <c r="H28" s="10"/>
      <c r="I28" s="10"/>
      <c r="J28" s="97"/>
      <c r="K28" s="10"/>
      <c r="L28" s="87">
        <f t="shared" si="1"/>
        <v>0</v>
      </c>
      <c r="M28" s="87">
        <f t="shared" si="2"/>
        <v>0</v>
      </c>
      <c r="N28" s="89" t="s">
        <v>13</v>
      </c>
      <c r="O28" s="90"/>
    </row>
    <row r="29" spans="1:15" ht="15.75">
      <c r="A29" s="15">
        <f t="shared" si="3"/>
        <v>23</v>
      </c>
      <c r="B29" s="83">
        <f t="shared" si="0"/>
        <v>26</v>
      </c>
      <c r="C29" s="10" t="s">
        <v>45</v>
      </c>
      <c r="D29" s="10">
        <v>1</v>
      </c>
      <c r="E29" s="10"/>
      <c r="F29" s="12">
        <v>32</v>
      </c>
      <c r="G29" s="10"/>
      <c r="H29" s="10"/>
      <c r="I29" s="10"/>
      <c r="J29" s="97"/>
      <c r="K29" s="10"/>
      <c r="L29" s="87">
        <f t="shared" si="1"/>
        <v>32</v>
      </c>
      <c r="M29" s="87">
        <f t="shared" si="2"/>
        <v>32</v>
      </c>
      <c r="N29" s="89" t="s">
        <v>13</v>
      </c>
      <c r="O29" s="90"/>
    </row>
    <row r="30" spans="1:15" ht="15.75">
      <c r="A30" s="15">
        <f t="shared" si="3"/>
        <v>24</v>
      </c>
      <c r="B30" s="83">
        <f t="shared" si="0"/>
        <v>27</v>
      </c>
      <c r="C30" s="65" t="s">
        <v>46</v>
      </c>
      <c r="D30" s="65">
        <v>12</v>
      </c>
      <c r="E30" s="65"/>
      <c r="F30" s="12">
        <f>(36*12+9)+252</f>
        <v>693</v>
      </c>
      <c r="G30" s="10"/>
      <c r="H30" s="10"/>
      <c r="I30" s="10">
        <f>66</f>
        <v>66</v>
      </c>
      <c r="J30" s="97">
        <f>21</f>
        <v>21</v>
      </c>
      <c r="K30" s="10"/>
      <c r="L30" s="87">
        <f t="shared" si="1"/>
        <v>780</v>
      </c>
      <c r="M30" s="87">
        <f t="shared" si="2"/>
        <v>65</v>
      </c>
      <c r="N30" s="89" t="s">
        <v>13</v>
      </c>
      <c r="O30" s="148" t="s">
        <v>234</v>
      </c>
    </row>
    <row r="31" spans="1:15" ht="15.75">
      <c r="A31" s="15">
        <f t="shared" si="3"/>
        <v>25</v>
      </c>
      <c r="B31" s="83">
        <f t="shared" si="0"/>
        <v>28</v>
      </c>
      <c r="C31" s="65" t="s">
        <v>47</v>
      </c>
      <c r="D31" s="10">
        <v>1</v>
      </c>
      <c r="E31" s="10"/>
      <c r="F31" s="12">
        <v>24</v>
      </c>
      <c r="G31" s="10"/>
      <c r="H31" s="10"/>
      <c r="I31" s="10">
        <v>10</v>
      </c>
      <c r="J31" s="97">
        <f>0</f>
        <v>0</v>
      </c>
      <c r="K31" s="10"/>
      <c r="L31" s="87">
        <f t="shared" si="1"/>
        <v>34</v>
      </c>
      <c r="M31" s="87">
        <f t="shared" si="2"/>
        <v>34</v>
      </c>
      <c r="N31" s="89" t="s">
        <v>13</v>
      </c>
      <c r="O31" s="148" t="s">
        <v>234</v>
      </c>
    </row>
    <row r="34" spans="4:5">
      <c r="D34" s="86"/>
      <c r="E34" s="86"/>
    </row>
  </sheetData>
  <hyperlinks>
    <hyperlink ref="B3" r:id="rId1" xr:uid="{00000000-0004-0000-0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6"/>
  <sheetViews>
    <sheetView workbookViewId="0">
      <pane xSplit="8" ySplit="12" topLeftCell="I85" activePane="bottomRight" state="frozen"/>
      <selection pane="topRight"/>
      <selection pane="bottomLeft"/>
      <selection pane="bottomRight" activeCell="D6" sqref="D6"/>
    </sheetView>
  </sheetViews>
  <sheetFormatPr defaultColWidth="9" defaultRowHeight="15"/>
  <cols>
    <col min="2" max="2" width="31.5703125" customWidth="1"/>
    <col min="5" max="5" width="12.140625" customWidth="1"/>
    <col min="6" max="6" width="12.85546875" customWidth="1"/>
    <col min="7" max="7" width="13" customWidth="1"/>
    <col min="10" max="10" width="19.85546875" customWidth="1"/>
    <col min="11" max="11" width="20.28515625" style="1" customWidth="1"/>
    <col min="12" max="12" width="21.140625" customWidth="1"/>
    <col min="13" max="13" width="36.7109375" customWidth="1"/>
    <col min="14" max="14" width="18.42578125" customWidth="1"/>
  </cols>
  <sheetData>
    <row r="1" spans="1:14" ht="29.25">
      <c r="A1" s="2" t="s">
        <v>240</v>
      </c>
      <c r="B1" s="3"/>
      <c r="C1" s="4"/>
      <c r="D1" s="4"/>
      <c r="E1" s="2"/>
      <c r="F1" s="2"/>
      <c r="G1" s="2"/>
      <c r="H1" s="2"/>
      <c r="I1" s="2"/>
      <c r="J1" s="2"/>
      <c r="K1" s="4"/>
      <c r="L1" s="4"/>
      <c r="M1" s="4"/>
      <c r="N1" s="4" t="s">
        <v>48</v>
      </c>
    </row>
    <row r="2" spans="1:14" ht="15.75">
      <c r="A2" s="5" t="s">
        <v>49</v>
      </c>
      <c r="B2" s="6" t="s">
        <v>50</v>
      </c>
      <c r="C2" s="7"/>
      <c r="D2" s="7"/>
      <c r="E2" s="5" t="s">
        <v>51</v>
      </c>
      <c r="F2" s="8">
        <f ca="1">G2-1</f>
        <v>46043.747614236112</v>
      </c>
      <c r="G2" s="9">
        <f ca="1">NOW()</f>
        <v>46044.747614236112</v>
      </c>
      <c r="H2" s="10"/>
      <c r="I2" s="11" t="str">
        <f ca="1">"Week"&amp;" "&amp;WEEKNUM(F2)</f>
        <v>Week 4</v>
      </c>
      <c r="J2" s="5"/>
      <c r="K2" s="7"/>
      <c r="L2" s="7"/>
      <c r="M2" s="7" t="s">
        <v>52</v>
      </c>
      <c r="N2" s="7" t="s">
        <v>53</v>
      </c>
    </row>
    <row r="3" spans="1:14">
      <c r="A3" s="12"/>
      <c r="B3" s="13" t="s">
        <v>54</v>
      </c>
      <c r="C3" t="s">
        <v>55</v>
      </c>
      <c r="E3" s="69"/>
      <c r="F3" s="14" t="s">
        <v>8</v>
      </c>
      <c r="G3" s="14" t="s">
        <v>6</v>
      </c>
      <c r="H3" s="14" t="s">
        <v>4</v>
      </c>
      <c r="I3" s="14" t="s">
        <v>7</v>
      </c>
      <c r="J3" s="24" t="s">
        <v>56</v>
      </c>
      <c r="K3" s="146" t="s">
        <v>57</v>
      </c>
      <c r="L3" s="7" t="s">
        <v>58</v>
      </c>
      <c r="M3" s="25"/>
      <c r="N3" s="25"/>
    </row>
    <row r="4" spans="1:14">
      <c r="A4" s="12"/>
      <c r="B4" s="13" t="s">
        <v>59</v>
      </c>
      <c r="D4" s="64" t="s">
        <v>404</v>
      </c>
      <c r="E4" s="69" t="s">
        <v>60</v>
      </c>
      <c r="F4" s="14"/>
      <c r="G4" s="14"/>
      <c r="H4" s="14"/>
      <c r="I4" s="70"/>
      <c r="J4" s="24"/>
      <c r="K4" s="146"/>
      <c r="L4" s="7"/>
      <c r="M4" s="25"/>
      <c r="N4" s="25"/>
    </row>
    <row r="5" spans="1:14">
      <c r="A5" s="71">
        <v>1</v>
      </c>
      <c r="B5" s="72" t="s">
        <v>61</v>
      </c>
      <c r="C5" s="10" t="s">
        <v>62</v>
      </c>
      <c r="D5" s="10"/>
      <c r="E5" s="106">
        <v>0</v>
      </c>
      <c r="F5" s="18"/>
      <c r="G5" s="10">
        <v>0</v>
      </c>
      <c r="H5" s="10">
        <v>0</v>
      </c>
      <c r="I5" s="107">
        <v>0</v>
      </c>
      <c r="J5" s="18"/>
      <c r="K5" s="106">
        <f>D5+E5+F5+G5+H5+I5+J5</f>
        <v>0</v>
      </c>
      <c r="L5" s="10"/>
      <c r="M5" s="10" t="s">
        <v>63</v>
      </c>
      <c r="N5" s="28"/>
    </row>
    <row r="6" spans="1:14" ht="15.75">
      <c r="A6" s="15">
        <f t="shared" ref="A6:A25" si="0">A5+1</f>
        <v>2</v>
      </c>
      <c r="B6" s="16" t="s">
        <v>64</v>
      </c>
      <c r="C6" s="10" t="s">
        <v>62</v>
      </c>
      <c r="D6" s="10">
        <v>5</v>
      </c>
      <c r="E6" s="106"/>
      <c r="F6" s="18"/>
      <c r="G6" s="10">
        <f>1</f>
        <v>1</v>
      </c>
      <c r="H6" s="10">
        <v>0</v>
      </c>
      <c r="I6" s="107">
        <f>0</f>
        <v>0</v>
      </c>
      <c r="J6" s="18"/>
      <c r="K6" s="106">
        <f t="shared" ref="K6:K69" si="1">D6+E6+F6+G6+H6+I6+J6</f>
        <v>6</v>
      </c>
      <c r="L6" s="10">
        <v>100</v>
      </c>
      <c r="M6" s="10" t="s">
        <v>63</v>
      </c>
      <c r="N6" s="28" t="s">
        <v>235</v>
      </c>
    </row>
    <row r="7" spans="1:14" ht="15.75">
      <c r="A7" s="15">
        <f t="shared" si="0"/>
        <v>3</v>
      </c>
      <c r="B7" s="16" t="s">
        <v>65</v>
      </c>
      <c r="C7" s="10" t="s">
        <v>66</v>
      </c>
      <c r="D7" s="10"/>
      <c r="E7" s="106">
        <v>0</v>
      </c>
      <c r="F7" s="18"/>
      <c r="G7" s="10">
        <v>0</v>
      </c>
      <c r="H7" s="10">
        <v>0</v>
      </c>
      <c r="I7" s="107">
        <v>0</v>
      </c>
      <c r="J7" s="18"/>
      <c r="K7" s="106">
        <f t="shared" si="1"/>
        <v>0</v>
      </c>
      <c r="L7" s="10">
        <v>50</v>
      </c>
      <c r="M7" s="10" t="s">
        <v>63</v>
      </c>
      <c r="N7" s="28"/>
    </row>
    <row r="8" spans="1:14" ht="15.75">
      <c r="A8" s="15">
        <f t="shared" si="0"/>
        <v>4</v>
      </c>
      <c r="B8" s="16" t="s">
        <v>67</v>
      </c>
      <c r="C8" s="10" t="s">
        <v>62</v>
      </c>
      <c r="D8" s="10"/>
      <c r="E8" s="106">
        <v>0</v>
      </c>
      <c r="F8" s="18"/>
      <c r="G8" s="10">
        <v>0</v>
      </c>
      <c r="H8" s="10">
        <v>0</v>
      </c>
      <c r="I8" s="107">
        <v>0</v>
      </c>
      <c r="J8" s="18"/>
      <c r="K8" s="106">
        <f t="shared" si="1"/>
        <v>0</v>
      </c>
      <c r="L8" s="10"/>
      <c r="M8" s="10" t="s">
        <v>63</v>
      </c>
      <c r="N8" s="28"/>
    </row>
    <row r="9" spans="1:14" ht="15.75">
      <c r="A9" s="15">
        <f t="shared" si="0"/>
        <v>5</v>
      </c>
      <c r="B9" s="16" t="s">
        <v>68</v>
      </c>
      <c r="C9" s="10" t="s">
        <v>62</v>
      </c>
      <c r="D9" s="10">
        <v>8</v>
      </c>
      <c r="E9" s="106">
        <f>190</f>
        <v>190</v>
      </c>
      <c r="F9" s="18"/>
      <c r="G9" s="10">
        <f>66</f>
        <v>66</v>
      </c>
      <c r="H9" s="10">
        <v>0</v>
      </c>
      <c r="I9" s="107">
        <v>0</v>
      </c>
      <c r="J9" s="18"/>
      <c r="K9" s="106">
        <f t="shared" si="1"/>
        <v>264</v>
      </c>
      <c r="L9" s="10">
        <v>100</v>
      </c>
      <c r="M9" s="10" t="s">
        <v>63</v>
      </c>
      <c r="N9" s="28"/>
    </row>
    <row r="10" spans="1:14" ht="15.75">
      <c r="A10" s="15">
        <f t="shared" si="0"/>
        <v>6</v>
      </c>
      <c r="B10" s="16" t="s">
        <v>69</v>
      </c>
      <c r="C10" s="10" t="s">
        <v>66</v>
      </c>
      <c r="D10" s="10"/>
      <c r="E10" s="106">
        <f>64</f>
        <v>64</v>
      </c>
      <c r="F10" s="18"/>
      <c r="G10" s="10">
        <f>16</f>
        <v>16</v>
      </c>
      <c r="H10" s="10">
        <v>0</v>
      </c>
      <c r="I10" s="107">
        <f>4</f>
        <v>4</v>
      </c>
      <c r="J10" s="18"/>
      <c r="K10" s="106">
        <f t="shared" si="1"/>
        <v>84</v>
      </c>
      <c r="L10" s="10">
        <v>50</v>
      </c>
      <c r="M10" s="10" t="s">
        <v>70</v>
      </c>
      <c r="N10" s="28" t="s">
        <v>236</v>
      </c>
    </row>
    <row r="11" spans="1:14" ht="15.75">
      <c r="A11" s="15">
        <f t="shared" si="0"/>
        <v>7</v>
      </c>
      <c r="B11" s="16" t="s">
        <v>71</v>
      </c>
      <c r="C11" s="10" t="s">
        <v>62</v>
      </c>
      <c r="D11" s="10">
        <v>5</v>
      </c>
      <c r="E11" s="106">
        <f>65</f>
        <v>65</v>
      </c>
      <c r="F11" s="18"/>
      <c r="G11" s="10">
        <f>54</f>
        <v>54</v>
      </c>
      <c r="H11" s="10">
        <v>0</v>
      </c>
      <c r="I11" s="107">
        <f>108</f>
        <v>108</v>
      </c>
      <c r="J11" s="18"/>
      <c r="K11" s="106">
        <f t="shared" si="1"/>
        <v>232</v>
      </c>
      <c r="L11" s="10">
        <v>1200</v>
      </c>
      <c r="M11" s="10" t="s">
        <v>70</v>
      </c>
      <c r="N11" s="28" t="s">
        <v>38</v>
      </c>
    </row>
    <row r="12" spans="1:14" ht="15.75">
      <c r="A12" s="15">
        <f t="shared" si="0"/>
        <v>8</v>
      </c>
      <c r="B12" s="16" t="s">
        <v>72</v>
      </c>
      <c r="C12" s="10" t="s">
        <v>66</v>
      </c>
      <c r="D12" s="10"/>
      <c r="E12" s="106">
        <f>112</f>
        <v>112</v>
      </c>
      <c r="F12" s="18"/>
      <c r="G12" s="10">
        <f>5</f>
        <v>5</v>
      </c>
      <c r="H12" s="10">
        <v>0</v>
      </c>
      <c r="I12" s="107">
        <f>0</f>
        <v>0</v>
      </c>
      <c r="J12" s="18"/>
      <c r="K12" s="106">
        <f t="shared" si="1"/>
        <v>117</v>
      </c>
      <c r="L12" s="10">
        <v>100</v>
      </c>
      <c r="M12" s="10" t="s">
        <v>70</v>
      </c>
      <c r="N12" s="28" t="s">
        <v>236</v>
      </c>
    </row>
    <row r="13" spans="1:14" ht="15.75">
      <c r="A13" s="15">
        <f t="shared" si="0"/>
        <v>9</v>
      </c>
      <c r="B13" s="16" t="s">
        <v>73</v>
      </c>
      <c r="C13" s="10" t="s">
        <v>62</v>
      </c>
      <c r="D13" s="10"/>
      <c r="E13" s="106"/>
      <c r="F13" s="18"/>
      <c r="G13" s="10">
        <v>0</v>
      </c>
      <c r="H13" s="10">
        <v>0</v>
      </c>
      <c r="I13" s="107">
        <v>0</v>
      </c>
      <c r="J13" s="18"/>
      <c r="K13" s="106">
        <f t="shared" si="1"/>
        <v>0</v>
      </c>
      <c r="L13" s="10"/>
      <c r="M13" s="10" t="s">
        <v>63</v>
      </c>
      <c r="N13" s="28"/>
    </row>
    <row r="14" spans="1:14" ht="15.75">
      <c r="A14" s="15">
        <f t="shared" si="0"/>
        <v>10</v>
      </c>
      <c r="B14" s="16" t="s">
        <v>74</v>
      </c>
      <c r="C14" s="10" t="s">
        <v>62</v>
      </c>
      <c r="D14" s="10"/>
      <c r="E14" s="106">
        <f>2</f>
        <v>2</v>
      </c>
      <c r="F14" s="18"/>
      <c r="G14" s="10">
        <f>6</f>
        <v>6</v>
      </c>
      <c r="H14" s="10">
        <v>0</v>
      </c>
      <c r="I14" s="107">
        <f>4</f>
        <v>4</v>
      </c>
      <c r="J14" s="18"/>
      <c r="K14" s="106">
        <f t="shared" si="1"/>
        <v>12</v>
      </c>
      <c r="L14" s="10">
        <v>100</v>
      </c>
      <c r="M14" s="10" t="s">
        <v>63</v>
      </c>
      <c r="N14" s="10" t="s">
        <v>75</v>
      </c>
    </row>
    <row r="15" spans="1:14" ht="15.75">
      <c r="A15" s="15">
        <f t="shared" si="0"/>
        <v>11</v>
      </c>
      <c r="B15" s="16" t="s">
        <v>76</v>
      </c>
      <c r="C15" s="10" t="s">
        <v>66</v>
      </c>
      <c r="D15" s="10"/>
      <c r="E15" s="106"/>
      <c r="F15" s="18"/>
      <c r="G15" s="10"/>
      <c r="H15" s="10">
        <v>0</v>
      </c>
      <c r="I15" s="107">
        <v>0</v>
      </c>
      <c r="J15" s="18"/>
      <c r="K15" s="106">
        <f t="shared" si="1"/>
        <v>0</v>
      </c>
      <c r="L15" s="10">
        <v>20</v>
      </c>
      <c r="M15" s="10" t="s">
        <v>63</v>
      </c>
      <c r="N15" s="28"/>
    </row>
    <row r="16" spans="1:14" ht="15.75">
      <c r="A16" s="15">
        <f t="shared" si="0"/>
        <v>12</v>
      </c>
      <c r="B16" s="16" t="s">
        <v>78</v>
      </c>
      <c r="C16" s="10" t="s">
        <v>62</v>
      </c>
      <c r="D16" s="10"/>
      <c r="E16" s="106"/>
      <c r="F16" s="18"/>
      <c r="G16" s="10">
        <v>0</v>
      </c>
      <c r="H16" s="10">
        <v>0</v>
      </c>
      <c r="I16" s="107">
        <v>0</v>
      </c>
      <c r="J16" s="18"/>
      <c r="K16" s="106">
        <f t="shared" si="1"/>
        <v>0</v>
      </c>
      <c r="L16" s="10"/>
      <c r="M16" s="10" t="s">
        <v>63</v>
      </c>
      <c r="N16" s="10"/>
    </row>
    <row r="17" spans="1:14" ht="15.75">
      <c r="A17" s="15">
        <f t="shared" si="0"/>
        <v>13</v>
      </c>
      <c r="B17" s="16" t="s">
        <v>79</v>
      </c>
      <c r="C17" s="10" t="s">
        <v>66</v>
      </c>
      <c r="D17" s="10"/>
      <c r="E17" s="106"/>
      <c r="F17" s="18"/>
      <c r="G17" s="10">
        <v>0</v>
      </c>
      <c r="H17" s="10">
        <v>0</v>
      </c>
      <c r="I17" s="107">
        <v>0</v>
      </c>
      <c r="J17" s="18"/>
      <c r="K17" s="106">
        <f t="shared" si="1"/>
        <v>0</v>
      </c>
      <c r="L17" s="10"/>
      <c r="M17" s="10" t="s">
        <v>63</v>
      </c>
      <c r="N17" s="10"/>
    </row>
    <row r="18" spans="1:14" ht="15.75">
      <c r="A18" s="15">
        <f t="shared" si="0"/>
        <v>14</v>
      </c>
      <c r="B18" s="16" t="s">
        <v>80</v>
      </c>
      <c r="C18" s="10" t="s">
        <v>62</v>
      </c>
      <c r="D18" s="10"/>
      <c r="E18" s="106"/>
      <c r="F18" s="18"/>
      <c r="G18" s="10">
        <v>0</v>
      </c>
      <c r="H18" s="10">
        <v>0</v>
      </c>
      <c r="I18" s="107">
        <v>0</v>
      </c>
      <c r="J18" s="18"/>
      <c r="K18" s="106">
        <f t="shared" si="1"/>
        <v>0</v>
      </c>
      <c r="L18" s="10"/>
      <c r="M18" s="10" t="s">
        <v>81</v>
      </c>
      <c r="N18" s="10"/>
    </row>
    <row r="19" spans="1:14" ht="15.75">
      <c r="A19" s="15">
        <f t="shared" si="0"/>
        <v>15</v>
      </c>
      <c r="B19" s="16" t="s">
        <v>82</v>
      </c>
      <c r="C19" s="10" t="s">
        <v>62</v>
      </c>
      <c r="D19" s="10"/>
      <c r="E19" s="106"/>
      <c r="F19" s="18"/>
      <c r="G19" s="10"/>
      <c r="H19" s="10">
        <v>0</v>
      </c>
      <c r="I19" s="107"/>
      <c r="J19" s="18"/>
      <c r="K19" s="106">
        <f t="shared" si="1"/>
        <v>0</v>
      </c>
      <c r="L19" s="10">
        <v>200</v>
      </c>
      <c r="M19" s="10" t="s">
        <v>70</v>
      </c>
      <c r="N19" s="10"/>
    </row>
    <row r="20" spans="1:14" ht="15.75">
      <c r="A20" s="15">
        <f t="shared" si="0"/>
        <v>16</v>
      </c>
      <c r="B20" s="16" t="s">
        <v>83</v>
      </c>
      <c r="C20" s="10" t="s">
        <v>62</v>
      </c>
      <c r="D20" s="10"/>
      <c r="E20" s="106"/>
      <c r="F20" s="18"/>
      <c r="G20" s="10">
        <v>0</v>
      </c>
      <c r="H20" s="10">
        <v>0</v>
      </c>
      <c r="I20" s="107">
        <v>0</v>
      </c>
      <c r="J20" s="18"/>
      <c r="K20" s="106">
        <f t="shared" si="1"/>
        <v>0</v>
      </c>
      <c r="L20" s="10">
        <v>500</v>
      </c>
      <c r="M20" s="10" t="s">
        <v>70</v>
      </c>
      <c r="N20" s="10"/>
    </row>
    <row r="21" spans="1:14" ht="15.75">
      <c r="A21" s="15">
        <f t="shared" si="0"/>
        <v>17</v>
      </c>
      <c r="B21" s="16" t="s">
        <v>84</v>
      </c>
      <c r="C21" s="10" t="s">
        <v>85</v>
      </c>
      <c r="D21" s="10"/>
      <c r="E21" s="106"/>
      <c r="F21" s="18"/>
      <c r="G21" s="10"/>
      <c r="H21" s="10">
        <v>0</v>
      </c>
      <c r="I21" s="107">
        <v>0</v>
      </c>
      <c r="J21" s="18"/>
      <c r="K21" s="106">
        <f t="shared" si="1"/>
        <v>0</v>
      </c>
      <c r="L21" s="10">
        <v>100</v>
      </c>
      <c r="M21" s="10" t="s">
        <v>70</v>
      </c>
      <c r="N21" s="10"/>
    </row>
    <row r="22" spans="1:14" ht="15.75">
      <c r="A22" s="15">
        <f t="shared" si="0"/>
        <v>18</v>
      </c>
      <c r="B22" s="16" t="s">
        <v>86</v>
      </c>
      <c r="C22" s="10" t="s">
        <v>62</v>
      </c>
      <c r="D22" s="10"/>
      <c r="E22" s="18">
        <f>3120</f>
        <v>3120</v>
      </c>
      <c r="F22" s="18"/>
      <c r="G22" s="10">
        <v>400</v>
      </c>
      <c r="H22" s="10">
        <v>0</v>
      </c>
      <c r="I22" s="107">
        <f>0</f>
        <v>0</v>
      </c>
      <c r="J22" s="18"/>
      <c r="K22" s="106">
        <f t="shared" si="1"/>
        <v>3520</v>
      </c>
      <c r="L22" s="10"/>
      <c r="M22" s="10" t="s">
        <v>63</v>
      </c>
      <c r="N22" s="10" t="s">
        <v>40</v>
      </c>
    </row>
    <row r="23" spans="1:14" ht="15.75">
      <c r="A23" s="15">
        <f t="shared" si="0"/>
        <v>19</v>
      </c>
      <c r="B23" s="16" t="s">
        <v>87</v>
      </c>
      <c r="C23" s="10" t="s">
        <v>62</v>
      </c>
      <c r="D23" s="10"/>
      <c r="E23" s="106"/>
      <c r="F23" s="18"/>
      <c r="G23" s="10">
        <v>0</v>
      </c>
      <c r="H23" s="10">
        <v>0</v>
      </c>
      <c r="I23" s="107">
        <v>0</v>
      </c>
      <c r="J23" s="18"/>
      <c r="K23" s="106">
        <f t="shared" si="1"/>
        <v>0</v>
      </c>
      <c r="L23" s="10"/>
      <c r="M23" s="10" t="s">
        <v>63</v>
      </c>
      <c r="N23" s="10"/>
    </row>
    <row r="24" spans="1:14" ht="15.75">
      <c r="A24" s="15">
        <f t="shared" si="0"/>
        <v>20</v>
      </c>
      <c r="B24" s="16" t="s">
        <v>88</v>
      </c>
      <c r="C24" s="10" t="s">
        <v>62</v>
      </c>
      <c r="D24" s="10"/>
      <c r="E24" s="106"/>
      <c r="F24" s="18"/>
      <c r="G24" s="10">
        <v>0</v>
      </c>
      <c r="H24" s="10">
        <v>0</v>
      </c>
      <c r="I24" s="107">
        <v>0</v>
      </c>
      <c r="J24" s="18"/>
      <c r="K24" s="106">
        <f t="shared" si="1"/>
        <v>0</v>
      </c>
      <c r="L24" s="10"/>
      <c r="M24" s="10" t="s">
        <v>63</v>
      </c>
      <c r="N24" s="10"/>
    </row>
    <row r="25" spans="1:14" ht="15.75">
      <c r="A25" s="15">
        <f t="shared" si="0"/>
        <v>21</v>
      </c>
      <c r="B25" s="16" t="s">
        <v>223</v>
      </c>
      <c r="C25" s="10" t="s">
        <v>62</v>
      </c>
      <c r="D25" s="10"/>
      <c r="E25" s="108">
        <f>(2000*14)+798</f>
        <v>28798</v>
      </c>
      <c r="F25" s="18"/>
      <c r="G25" s="10">
        <f>2100</f>
        <v>2100</v>
      </c>
      <c r="H25" s="10">
        <v>450</v>
      </c>
      <c r="I25" s="107">
        <f>515+6000</f>
        <v>6515</v>
      </c>
      <c r="J25" s="18"/>
      <c r="K25" s="106">
        <f t="shared" si="1"/>
        <v>37863</v>
      </c>
      <c r="L25" s="10"/>
      <c r="M25" s="89" t="s">
        <v>25</v>
      </c>
      <c r="N25" s="98">
        <v>46844</v>
      </c>
    </row>
    <row r="26" spans="1:14">
      <c r="A26" s="12"/>
      <c r="B26" s="55" t="s">
        <v>89</v>
      </c>
      <c r="C26" s="10"/>
      <c r="D26" s="10"/>
      <c r="E26" s="10"/>
      <c r="F26" s="10"/>
      <c r="G26" s="10"/>
      <c r="H26" s="10"/>
      <c r="I26" s="10"/>
      <c r="J26" s="10"/>
      <c r="K26" s="106">
        <f t="shared" si="1"/>
        <v>0</v>
      </c>
      <c r="L26" s="10"/>
      <c r="M26" s="10"/>
      <c r="N26" s="10"/>
    </row>
    <row r="27" spans="1:14">
      <c r="A27" s="12"/>
      <c r="B27" s="20" t="s">
        <v>90</v>
      </c>
      <c r="C27" s="7" t="s">
        <v>55</v>
      </c>
      <c r="D27" s="7"/>
      <c r="E27" s="28"/>
      <c r="F27" s="18"/>
      <c r="G27" s="10">
        <v>0</v>
      </c>
      <c r="H27" s="10"/>
      <c r="I27" s="107"/>
      <c r="J27" s="18"/>
      <c r="K27" s="106">
        <f t="shared" si="1"/>
        <v>0</v>
      </c>
      <c r="L27" s="10" t="s">
        <v>58</v>
      </c>
      <c r="M27" s="10"/>
      <c r="N27" s="10"/>
    </row>
    <row r="28" spans="1:14" ht="15.75">
      <c r="A28" s="15">
        <v>1</v>
      </c>
      <c r="B28" s="16" t="s">
        <v>91</v>
      </c>
      <c r="C28" s="10" t="s">
        <v>92</v>
      </c>
      <c r="D28" s="10"/>
      <c r="E28" s="28"/>
      <c r="F28" s="18"/>
      <c r="G28" s="10">
        <v>0</v>
      </c>
      <c r="H28" s="10"/>
      <c r="I28" s="107"/>
      <c r="J28" s="18"/>
      <c r="K28" s="106">
        <f t="shared" si="1"/>
        <v>0</v>
      </c>
      <c r="L28" s="10">
        <v>1000</v>
      </c>
      <c r="M28" s="10" t="s">
        <v>63</v>
      </c>
      <c r="N28" s="10"/>
    </row>
    <row r="29" spans="1:14" ht="15.75">
      <c r="A29" s="15">
        <v>2</v>
      </c>
      <c r="B29" s="16" t="s">
        <v>93</v>
      </c>
      <c r="C29" s="10" t="s">
        <v>92</v>
      </c>
      <c r="D29" s="10"/>
      <c r="E29" s="28">
        <f>100</f>
        <v>100</v>
      </c>
      <c r="F29" s="18"/>
      <c r="G29" s="10">
        <v>0</v>
      </c>
      <c r="H29" s="10"/>
      <c r="I29" s="107"/>
      <c r="J29" s="18"/>
      <c r="K29" s="106">
        <f t="shared" si="1"/>
        <v>100</v>
      </c>
      <c r="L29" s="10">
        <v>500</v>
      </c>
      <c r="M29" s="10" t="s">
        <v>63</v>
      </c>
      <c r="N29" s="10" t="s">
        <v>230</v>
      </c>
    </row>
    <row r="30" spans="1:14" ht="15.75">
      <c r="A30" s="15">
        <v>3</v>
      </c>
      <c r="B30" s="16" t="s">
        <v>94</v>
      </c>
      <c r="C30" s="10" t="s">
        <v>92</v>
      </c>
      <c r="D30" s="10"/>
      <c r="E30" s="28">
        <f>19*25</f>
        <v>475</v>
      </c>
      <c r="F30" s="18"/>
      <c r="G30" s="10">
        <v>0</v>
      </c>
      <c r="H30" s="10"/>
      <c r="I30" s="107"/>
      <c r="J30" s="18"/>
      <c r="K30" s="106">
        <f t="shared" si="1"/>
        <v>475</v>
      </c>
      <c r="L30" s="10">
        <v>1500</v>
      </c>
      <c r="M30" s="10" t="s">
        <v>70</v>
      </c>
      <c r="N30" s="10" t="s">
        <v>230</v>
      </c>
    </row>
    <row r="31" spans="1:14" ht="15.75">
      <c r="A31" s="15">
        <v>4</v>
      </c>
      <c r="B31" s="16" t="s">
        <v>95</v>
      </c>
      <c r="C31" s="10" t="s">
        <v>92</v>
      </c>
      <c r="D31" s="10"/>
      <c r="E31" s="28"/>
      <c r="F31" s="18"/>
      <c r="G31" s="10">
        <v>0</v>
      </c>
      <c r="H31" s="10"/>
      <c r="I31" s="107"/>
      <c r="J31" s="18"/>
      <c r="K31" s="106">
        <f t="shared" si="1"/>
        <v>0</v>
      </c>
      <c r="L31" s="10">
        <v>300</v>
      </c>
      <c r="M31" s="10" t="s">
        <v>63</v>
      </c>
      <c r="N31" s="10"/>
    </row>
    <row r="32" spans="1:14" ht="15.75">
      <c r="A32" s="15">
        <v>5</v>
      </c>
      <c r="B32" s="16" t="s">
        <v>96</v>
      </c>
      <c r="C32" s="10" t="s">
        <v>92</v>
      </c>
      <c r="D32" s="10"/>
      <c r="E32" s="28"/>
      <c r="F32" s="18"/>
      <c r="G32" s="10">
        <v>0</v>
      </c>
      <c r="H32" s="10"/>
      <c r="I32" s="107"/>
      <c r="J32" s="18"/>
      <c r="K32" s="106">
        <f t="shared" si="1"/>
        <v>0</v>
      </c>
      <c r="L32" s="10"/>
      <c r="M32" s="10"/>
      <c r="N32" s="28"/>
    </row>
    <row r="33" spans="1:14">
      <c r="A33" s="12"/>
      <c r="B33" s="21" t="s">
        <v>97</v>
      </c>
      <c r="C33" s="10"/>
      <c r="D33" s="10"/>
      <c r="E33" s="28"/>
      <c r="F33" s="18"/>
      <c r="G33" s="10">
        <v>0</v>
      </c>
      <c r="H33" s="10"/>
      <c r="I33" s="107"/>
      <c r="J33" s="18"/>
      <c r="K33" s="106">
        <f t="shared" si="1"/>
        <v>0</v>
      </c>
      <c r="L33" s="10"/>
      <c r="M33" s="10"/>
      <c r="N33" s="28"/>
    </row>
    <row r="34" spans="1:14">
      <c r="A34" s="12"/>
      <c r="B34" s="20" t="s">
        <v>98</v>
      </c>
      <c r="C34" s="7" t="s">
        <v>55</v>
      </c>
      <c r="D34" s="7"/>
      <c r="E34" s="28"/>
      <c r="F34" s="18"/>
      <c r="G34" s="10">
        <v>0</v>
      </c>
      <c r="H34" s="10"/>
      <c r="I34" s="107"/>
      <c r="J34" s="18"/>
      <c r="K34" s="106">
        <f t="shared" si="1"/>
        <v>0</v>
      </c>
      <c r="L34" s="10" t="s">
        <v>58</v>
      </c>
      <c r="M34" s="10"/>
      <c r="N34" s="28"/>
    </row>
    <row r="35" spans="1:14" ht="15.75">
      <c r="A35" s="15">
        <v>1</v>
      </c>
      <c r="B35" s="16" t="s">
        <v>99</v>
      </c>
      <c r="C35" s="10" t="s">
        <v>62</v>
      </c>
      <c r="D35" s="10"/>
      <c r="E35" s="109">
        <f>6900-192</f>
        <v>6708</v>
      </c>
      <c r="F35" s="18"/>
      <c r="G35" s="10">
        <f>98</f>
        <v>98</v>
      </c>
      <c r="H35" s="10">
        <v>5</v>
      </c>
      <c r="I35" s="107">
        <v>58</v>
      </c>
      <c r="J35" s="18"/>
      <c r="K35" s="106">
        <f t="shared" si="1"/>
        <v>6869</v>
      </c>
      <c r="L35" s="10">
        <v>1000</v>
      </c>
      <c r="M35" s="10" t="s">
        <v>63</v>
      </c>
      <c r="N35" s="67" t="s">
        <v>230</v>
      </c>
    </row>
    <row r="36" spans="1:14" ht="15.75">
      <c r="A36" s="15">
        <f t="shared" ref="A36:A44" si="2">A35+1</f>
        <v>2</v>
      </c>
      <c r="B36" s="16" t="s">
        <v>100</v>
      </c>
      <c r="C36" s="10" t="s">
        <v>62</v>
      </c>
      <c r="D36" s="10"/>
      <c r="E36" s="28"/>
      <c r="F36" s="18"/>
      <c r="G36" s="10"/>
      <c r="H36" s="10"/>
      <c r="I36" s="107"/>
      <c r="J36" s="18"/>
      <c r="K36" s="106">
        <f t="shared" si="1"/>
        <v>0</v>
      </c>
      <c r="L36" s="10">
        <v>2000</v>
      </c>
      <c r="M36" s="10" t="s">
        <v>63</v>
      </c>
      <c r="N36" s="10" t="s">
        <v>102</v>
      </c>
    </row>
    <row r="37" spans="1:14" ht="15.75">
      <c r="A37" s="15">
        <f t="shared" si="2"/>
        <v>3</v>
      </c>
      <c r="B37" s="16" t="s">
        <v>101</v>
      </c>
      <c r="C37" s="10" t="s">
        <v>62</v>
      </c>
      <c r="D37" s="10"/>
      <c r="E37" s="106"/>
      <c r="F37" s="18"/>
      <c r="G37" s="10"/>
      <c r="H37" s="10">
        <v>0</v>
      </c>
      <c r="I37" s="107">
        <v>0</v>
      </c>
      <c r="J37" s="18"/>
      <c r="K37" s="106">
        <f t="shared" si="1"/>
        <v>0</v>
      </c>
      <c r="L37" s="10">
        <v>5000</v>
      </c>
      <c r="M37" s="10" t="s">
        <v>70</v>
      </c>
      <c r="N37" s="10"/>
    </row>
    <row r="38" spans="1:14" ht="15.75">
      <c r="A38" s="15">
        <f t="shared" si="2"/>
        <v>4</v>
      </c>
      <c r="B38" s="16" t="s">
        <v>103</v>
      </c>
      <c r="C38" s="10" t="s">
        <v>62</v>
      </c>
      <c r="D38" s="10"/>
      <c r="E38" s="106"/>
      <c r="F38" s="18"/>
      <c r="G38" s="10">
        <v>0</v>
      </c>
      <c r="H38" s="10">
        <v>0</v>
      </c>
      <c r="I38" s="107">
        <v>0</v>
      </c>
      <c r="J38" s="18"/>
      <c r="K38" s="106">
        <f t="shared" si="1"/>
        <v>0</v>
      </c>
      <c r="L38" s="10">
        <v>5000</v>
      </c>
      <c r="M38" s="10" t="s">
        <v>70</v>
      </c>
      <c r="N38" s="67"/>
    </row>
    <row r="39" spans="1:14" ht="15.75">
      <c r="A39" s="15">
        <f t="shared" si="2"/>
        <v>5</v>
      </c>
      <c r="B39" s="16" t="s">
        <v>104</v>
      </c>
      <c r="C39" s="10" t="s">
        <v>62</v>
      </c>
      <c r="D39" s="10"/>
      <c r="E39" s="106"/>
      <c r="F39" s="18"/>
      <c r="G39" s="10">
        <v>0</v>
      </c>
      <c r="H39" s="10">
        <v>0</v>
      </c>
      <c r="I39" s="107">
        <v>0</v>
      </c>
      <c r="J39" s="18"/>
      <c r="K39" s="106">
        <f t="shared" si="1"/>
        <v>0</v>
      </c>
      <c r="L39" s="10">
        <v>100</v>
      </c>
      <c r="M39" s="10" t="s">
        <v>63</v>
      </c>
      <c r="N39" s="10"/>
    </row>
    <row r="40" spans="1:14" ht="15.75">
      <c r="A40" s="15">
        <f t="shared" si="2"/>
        <v>6</v>
      </c>
      <c r="B40" s="41" t="s">
        <v>105</v>
      </c>
      <c r="C40" s="10" t="s">
        <v>62</v>
      </c>
      <c r="D40" s="10"/>
      <c r="E40" s="109">
        <f>1296</f>
        <v>1296</v>
      </c>
      <c r="F40" s="18"/>
      <c r="G40" s="10">
        <v>12</v>
      </c>
      <c r="H40" s="10">
        <v>0</v>
      </c>
      <c r="I40" s="107">
        <f>20</f>
        <v>20</v>
      </c>
      <c r="J40" s="18"/>
      <c r="K40" s="106">
        <f t="shared" si="1"/>
        <v>1328</v>
      </c>
      <c r="L40" s="10">
        <v>1000</v>
      </c>
      <c r="M40" s="10" t="s">
        <v>63</v>
      </c>
      <c r="N40" s="67" t="s">
        <v>230</v>
      </c>
    </row>
    <row r="41" spans="1:14" ht="15.75">
      <c r="A41" s="15">
        <f t="shared" si="2"/>
        <v>7</v>
      </c>
      <c r="B41" s="41" t="s">
        <v>106</v>
      </c>
      <c r="C41" s="10" t="s">
        <v>62</v>
      </c>
      <c r="D41" s="10"/>
      <c r="E41" s="106"/>
      <c r="F41" s="18"/>
      <c r="G41" s="10">
        <v>0</v>
      </c>
      <c r="H41" s="10">
        <v>0</v>
      </c>
      <c r="I41" s="107">
        <v>0</v>
      </c>
      <c r="J41" s="18"/>
      <c r="K41" s="106">
        <f t="shared" si="1"/>
        <v>0</v>
      </c>
      <c r="L41" s="10"/>
      <c r="M41" s="10"/>
      <c r="N41" s="10"/>
    </row>
    <row r="42" spans="1:14" ht="15.75">
      <c r="A42" s="15">
        <f t="shared" si="2"/>
        <v>8</v>
      </c>
      <c r="B42" s="16" t="s">
        <v>107</v>
      </c>
      <c r="C42" s="10" t="s">
        <v>62</v>
      </c>
      <c r="D42" s="10"/>
      <c r="E42" s="109">
        <f>3884</f>
        <v>3884</v>
      </c>
      <c r="F42" s="18"/>
      <c r="G42" s="10">
        <f>294</f>
        <v>294</v>
      </c>
      <c r="H42" s="10">
        <v>252</v>
      </c>
      <c r="I42" s="107">
        <f>216</f>
        <v>216</v>
      </c>
      <c r="J42" s="18"/>
      <c r="K42" s="106">
        <f t="shared" si="1"/>
        <v>4646</v>
      </c>
      <c r="L42" s="10">
        <v>10000</v>
      </c>
      <c r="M42" s="10" t="s">
        <v>70</v>
      </c>
      <c r="N42" s="10" t="s">
        <v>230</v>
      </c>
    </row>
    <row r="43" spans="1:14" ht="15.75">
      <c r="A43" s="15">
        <f t="shared" si="2"/>
        <v>9</v>
      </c>
      <c r="B43" s="16" t="s">
        <v>108</v>
      </c>
      <c r="C43" s="10" t="s">
        <v>62</v>
      </c>
      <c r="D43" s="10"/>
      <c r="E43" s="106"/>
      <c r="F43" s="18"/>
      <c r="G43" s="10"/>
      <c r="H43" s="10">
        <v>0</v>
      </c>
      <c r="I43" s="107"/>
      <c r="J43" s="18"/>
      <c r="K43" s="106">
        <f t="shared" si="1"/>
        <v>0</v>
      </c>
      <c r="L43" s="10">
        <v>1500</v>
      </c>
      <c r="M43" s="10" t="s">
        <v>63</v>
      </c>
      <c r="N43" s="10"/>
    </row>
    <row r="44" spans="1:14" ht="15.75">
      <c r="A44" s="15">
        <f t="shared" si="2"/>
        <v>10</v>
      </c>
      <c r="B44" s="16" t="s">
        <v>109</v>
      </c>
      <c r="C44" s="10" t="s">
        <v>62</v>
      </c>
      <c r="D44" s="10"/>
      <c r="E44" s="106"/>
      <c r="F44" s="18"/>
      <c r="G44" s="10">
        <v>0</v>
      </c>
      <c r="H44" s="10">
        <v>0</v>
      </c>
      <c r="I44" s="107">
        <v>0</v>
      </c>
      <c r="J44" s="18"/>
      <c r="K44" s="106">
        <f t="shared" si="1"/>
        <v>0</v>
      </c>
      <c r="L44" s="10">
        <v>2000</v>
      </c>
      <c r="M44" s="10" t="s">
        <v>63</v>
      </c>
      <c r="N44" s="10"/>
    </row>
    <row r="45" spans="1:14">
      <c r="A45" s="12"/>
      <c r="B45" s="21" t="s">
        <v>110</v>
      </c>
      <c r="C45" s="10"/>
      <c r="D45" s="10"/>
      <c r="E45" s="28"/>
      <c r="F45" s="18"/>
      <c r="G45" s="10"/>
      <c r="H45" s="10"/>
      <c r="I45" s="107"/>
      <c r="J45" s="18"/>
      <c r="K45" s="106">
        <f t="shared" si="1"/>
        <v>0</v>
      </c>
      <c r="L45" s="10"/>
      <c r="M45" s="10"/>
      <c r="N45" s="28"/>
    </row>
    <row r="46" spans="1:14">
      <c r="A46" s="12"/>
      <c r="B46" s="21" t="s">
        <v>111</v>
      </c>
      <c r="C46" s="10"/>
      <c r="D46" s="10"/>
      <c r="E46" s="28"/>
      <c r="F46" s="18"/>
      <c r="G46" s="10"/>
      <c r="H46" s="10"/>
      <c r="I46" s="10"/>
      <c r="J46" s="19"/>
      <c r="K46" s="106">
        <f t="shared" si="1"/>
        <v>0</v>
      </c>
      <c r="L46" s="10"/>
      <c r="M46" s="10"/>
      <c r="N46" s="10"/>
    </row>
    <row r="47" spans="1:14">
      <c r="A47" s="12"/>
      <c r="B47" s="20" t="s">
        <v>112</v>
      </c>
      <c r="C47" s="7" t="s">
        <v>55</v>
      </c>
      <c r="D47" s="7"/>
      <c r="E47" s="28"/>
      <c r="F47" s="18"/>
      <c r="G47" s="10"/>
      <c r="H47" s="10"/>
      <c r="I47" s="10"/>
      <c r="J47" s="19"/>
      <c r="K47" s="106">
        <f t="shared" si="1"/>
        <v>0</v>
      </c>
      <c r="L47" s="10"/>
      <c r="M47" s="10"/>
      <c r="N47" s="10"/>
    </row>
    <row r="48" spans="1:14" ht="15.75">
      <c r="A48" s="15">
        <v>1</v>
      </c>
      <c r="B48" s="16" t="s">
        <v>113</v>
      </c>
      <c r="C48" s="10" t="s">
        <v>62</v>
      </c>
      <c r="D48" s="10"/>
      <c r="E48" s="28"/>
      <c r="F48" s="18"/>
      <c r="G48" s="10">
        <v>2</v>
      </c>
      <c r="H48" s="10"/>
      <c r="I48" s="107"/>
      <c r="J48" s="18"/>
      <c r="K48" s="106">
        <f t="shared" si="1"/>
        <v>2</v>
      </c>
      <c r="L48" s="10"/>
      <c r="M48" s="10" t="s">
        <v>81</v>
      </c>
      <c r="N48" s="10"/>
    </row>
    <row r="49" spans="1:14" ht="15.75">
      <c r="A49" s="15">
        <f t="shared" ref="A49:A71" si="3">A48+1</f>
        <v>2</v>
      </c>
      <c r="B49" s="16" t="s">
        <v>114</v>
      </c>
      <c r="C49" s="73" t="s">
        <v>115</v>
      </c>
      <c r="D49" s="73"/>
      <c r="E49" s="28">
        <v>14500</v>
      </c>
      <c r="F49" s="18"/>
      <c r="G49" s="10"/>
      <c r="H49" s="10"/>
      <c r="I49" s="107"/>
      <c r="J49" s="18"/>
      <c r="K49" s="106">
        <f t="shared" si="1"/>
        <v>14500</v>
      </c>
      <c r="L49" s="10"/>
      <c r="M49" s="10" t="s">
        <v>81</v>
      </c>
      <c r="N49" s="10"/>
    </row>
    <row r="50" spans="1:14" ht="15.75">
      <c r="A50" s="74">
        <f t="shared" si="3"/>
        <v>3</v>
      </c>
      <c r="B50" s="75" t="s">
        <v>116</v>
      </c>
      <c r="C50" s="10" t="s">
        <v>62</v>
      </c>
      <c r="D50" s="10"/>
      <c r="E50" s="106">
        <v>1794</v>
      </c>
      <c r="F50" s="18"/>
      <c r="G50" s="10">
        <v>2780</v>
      </c>
      <c r="H50" s="10"/>
      <c r="I50" s="107"/>
      <c r="J50" s="18">
        <v>100</v>
      </c>
      <c r="K50" s="106">
        <f t="shared" si="1"/>
        <v>4674</v>
      </c>
      <c r="L50" s="10"/>
      <c r="M50" s="10"/>
      <c r="N50" s="10"/>
    </row>
    <row r="51" spans="1:14" ht="15.75">
      <c r="A51" s="15">
        <f t="shared" si="3"/>
        <v>4</v>
      </c>
      <c r="B51" s="16" t="s">
        <v>117</v>
      </c>
      <c r="C51" s="10" t="s">
        <v>115</v>
      </c>
      <c r="D51" s="10"/>
      <c r="E51" s="28"/>
      <c r="F51" s="18"/>
      <c r="G51" s="109">
        <v>5664</v>
      </c>
      <c r="H51" s="10"/>
      <c r="I51" s="107"/>
      <c r="J51" s="18"/>
      <c r="K51" s="106">
        <f t="shared" si="1"/>
        <v>5664</v>
      </c>
      <c r="L51" s="10" t="s">
        <v>118</v>
      </c>
      <c r="M51" s="10"/>
      <c r="N51" s="10"/>
    </row>
    <row r="52" spans="1:14" ht="15.75">
      <c r="A52" s="15">
        <f t="shared" si="3"/>
        <v>5</v>
      </c>
      <c r="B52" s="10" t="s">
        <v>119</v>
      </c>
      <c r="C52" s="10" t="s">
        <v>120</v>
      </c>
      <c r="D52" s="10"/>
      <c r="E52" s="28"/>
      <c r="F52" s="18"/>
      <c r="G52" s="10">
        <v>0</v>
      </c>
      <c r="H52" s="10"/>
      <c r="I52" s="107"/>
      <c r="J52" s="18"/>
      <c r="K52" s="106">
        <f t="shared" si="1"/>
        <v>0</v>
      </c>
      <c r="L52" s="10"/>
      <c r="M52" s="10"/>
      <c r="N52" s="10"/>
    </row>
    <row r="53" spans="1:14" ht="15.75">
      <c r="A53" s="15">
        <f t="shared" si="3"/>
        <v>6</v>
      </c>
      <c r="B53" s="10" t="s">
        <v>121</v>
      </c>
      <c r="C53" s="10" t="s">
        <v>120</v>
      </c>
      <c r="D53" s="10"/>
      <c r="E53" s="28"/>
      <c r="F53" s="18"/>
      <c r="G53" s="10"/>
      <c r="H53" s="10"/>
      <c r="I53" s="107"/>
      <c r="J53" s="18"/>
      <c r="K53" s="106">
        <f t="shared" si="1"/>
        <v>0</v>
      </c>
      <c r="L53" s="10"/>
      <c r="M53" s="10"/>
      <c r="N53" s="10"/>
    </row>
    <row r="54" spans="1:14" ht="15.75">
      <c r="A54" s="15">
        <f t="shared" si="3"/>
        <v>7</v>
      </c>
      <c r="B54" s="16" t="s">
        <v>122</v>
      </c>
      <c r="C54" s="10" t="s">
        <v>62</v>
      </c>
      <c r="D54" s="10"/>
      <c r="E54" s="28">
        <v>7</v>
      </c>
      <c r="F54" s="18"/>
      <c r="G54" s="10"/>
      <c r="H54" s="10"/>
      <c r="I54" s="107"/>
      <c r="J54" s="18"/>
      <c r="K54" s="106">
        <f t="shared" si="1"/>
        <v>7</v>
      </c>
      <c r="L54" s="10"/>
      <c r="M54" s="10"/>
      <c r="N54" s="10"/>
    </row>
    <row r="55" spans="1:14" ht="15.75">
      <c r="A55" s="15">
        <f t="shared" si="3"/>
        <v>8</v>
      </c>
      <c r="B55" s="16" t="s">
        <v>123</v>
      </c>
      <c r="C55" s="10" t="s">
        <v>62</v>
      </c>
      <c r="D55" s="10"/>
      <c r="E55" s="28">
        <v>6</v>
      </c>
      <c r="F55" s="18"/>
      <c r="G55" s="10"/>
      <c r="H55" s="10"/>
      <c r="I55" s="107"/>
      <c r="J55" s="18"/>
      <c r="K55" s="106">
        <f t="shared" si="1"/>
        <v>6</v>
      </c>
      <c r="L55" s="10"/>
      <c r="M55" s="10"/>
      <c r="N55" s="10"/>
    </row>
    <row r="56" spans="1:14" ht="15.75">
      <c r="A56" s="15">
        <f t="shared" si="3"/>
        <v>9</v>
      </c>
      <c r="B56" s="16" t="s">
        <v>124</v>
      </c>
      <c r="C56" s="10" t="s">
        <v>120</v>
      </c>
      <c r="D56" s="10"/>
      <c r="E56" s="28"/>
      <c r="F56" s="18"/>
      <c r="G56" s="10"/>
      <c r="H56" s="10"/>
      <c r="I56" s="107"/>
      <c r="J56" s="18"/>
      <c r="K56" s="106">
        <f t="shared" si="1"/>
        <v>0</v>
      </c>
      <c r="L56" s="10"/>
      <c r="M56" s="10"/>
      <c r="N56" s="10"/>
    </row>
    <row r="57" spans="1:14" ht="15.75">
      <c r="A57" s="15">
        <f t="shared" si="3"/>
        <v>10</v>
      </c>
      <c r="B57" s="16" t="s">
        <v>125</v>
      </c>
      <c r="C57" s="10" t="s">
        <v>120</v>
      </c>
      <c r="D57" s="10"/>
      <c r="E57" s="28"/>
      <c r="F57" s="18"/>
      <c r="G57" s="10"/>
      <c r="H57" s="10"/>
      <c r="I57" s="107"/>
      <c r="J57" s="18"/>
      <c r="K57" s="106">
        <f t="shared" si="1"/>
        <v>0</v>
      </c>
      <c r="L57" s="10"/>
      <c r="M57" s="10"/>
      <c r="N57" s="10"/>
    </row>
    <row r="58" spans="1:14">
      <c r="A58" s="18">
        <f t="shared" si="3"/>
        <v>11</v>
      </c>
      <c r="B58" s="18" t="s">
        <v>126</v>
      </c>
      <c r="C58" s="10" t="s">
        <v>127</v>
      </c>
      <c r="D58" s="10"/>
      <c r="E58" s="28"/>
      <c r="F58" s="18"/>
      <c r="G58" s="10"/>
      <c r="H58" s="10"/>
      <c r="I58" s="107"/>
      <c r="J58" s="18"/>
      <c r="K58" s="106">
        <f t="shared" si="1"/>
        <v>0</v>
      </c>
      <c r="L58" s="10"/>
      <c r="M58" s="10"/>
      <c r="N58" s="10"/>
    </row>
    <row r="59" spans="1:14">
      <c r="A59" s="18">
        <f t="shared" si="3"/>
        <v>12</v>
      </c>
      <c r="B59" s="18" t="s">
        <v>128</v>
      </c>
      <c r="C59" s="10" t="s">
        <v>127</v>
      </c>
      <c r="D59" s="10"/>
      <c r="E59" s="28"/>
      <c r="F59" s="18"/>
      <c r="G59" s="10">
        <f>500+3100</f>
        <v>3600</v>
      </c>
      <c r="H59" s="10"/>
      <c r="I59" s="107"/>
      <c r="J59" s="18"/>
      <c r="K59" s="106">
        <f t="shared" si="1"/>
        <v>3600</v>
      </c>
      <c r="L59" s="10"/>
      <c r="M59" s="10"/>
      <c r="N59" s="10"/>
    </row>
    <row r="60" spans="1:14" ht="15.75">
      <c r="A60" s="15">
        <f t="shared" si="3"/>
        <v>13</v>
      </c>
      <c r="B60" s="16" t="s">
        <v>129</v>
      </c>
      <c r="C60" s="10" t="s">
        <v>62</v>
      </c>
      <c r="D60" s="10"/>
      <c r="E60" s="28"/>
      <c r="F60" s="18">
        <v>4</v>
      </c>
      <c r="G60" s="10"/>
      <c r="H60" s="10"/>
      <c r="I60" s="107"/>
      <c r="J60" s="18"/>
      <c r="K60" s="106">
        <f t="shared" si="1"/>
        <v>4</v>
      </c>
      <c r="L60" s="10"/>
      <c r="M60" s="10"/>
      <c r="N60" s="10"/>
    </row>
    <row r="61" spans="1:14" ht="15.75">
      <c r="A61" s="15">
        <f t="shared" si="3"/>
        <v>14</v>
      </c>
      <c r="B61" s="16" t="s">
        <v>130</v>
      </c>
      <c r="C61" s="10" t="s">
        <v>131</v>
      </c>
      <c r="D61" s="10"/>
      <c r="E61" s="28"/>
      <c r="F61" s="18"/>
      <c r="G61" s="112">
        <v>5676</v>
      </c>
      <c r="H61" s="10"/>
      <c r="I61" s="107"/>
      <c r="J61" s="18"/>
      <c r="K61" s="106">
        <f t="shared" si="1"/>
        <v>5676</v>
      </c>
      <c r="L61" s="10" t="s">
        <v>132</v>
      </c>
      <c r="M61" s="10"/>
      <c r="N61" s="10"/>
    </row>
    <row r="62" spans="1:14" ht="15.75">
      <c r="A62" s="15">
        <f t="shared" si="3"/>
        <v>15</v>
      </c>
      <c r="B62" s="16" t="s">
        <v>133</v>
      </c>
      <c r="C62" s="10" t="s">
        <v>62</v>
      </c>
      <c r="D62" s="10"/>
      <c r="E62" s="28">
        <v>24</v>
      </c>
      <c r="F62" s="18">
        <v>20</v>
      </c>
      <c r="G62" s="10">
        <v>8</v>
      </c>
      <c r="H62" s="10"/>
      <c r="I62" s="107"/>
      <c r="J62" s="18"/>
      <c r="K62" s="106">
        <f t="shared" si="1"/>
        <v>52</v>
      </c>
      <c r="L62" s="10"/>
      <c r="M62" s="10"/>
      <c r="N62" s="10"/>
    </row>
    <row r="63" spans="1:14" ht="15.75">
      <c r="A63" s="15">
        <f t="shared" si="3"/>
        <v>16</v>
      </c>
      <c r="B63" s="16" t="s">
        <v>134</v>
      </c>
      <c r="C63" s="10" t="s">
        <v>62</v>
      </c>
      <c r="D63" s="10"/>
      <c r="E63" s="28">
        <v>313</v>
      </c>
      <c r="F63" s="18"/>
      <c r="G63" s="10">
        <v>30</v>
      </c>
      <c r="H63" s="10"/>
      <c r="I63" s="107"/>
      <c r="J63" s="18"/>
      <c r="K63" s="106">
        <f t="shared" si="1"/>
        <v>343</v>
      </c>
      <c r="L63" s="10"/>
      <c r="M63" s="10"/>
      <c r="N63" s="10"/>
    </row>
    <row r="64" spans="1:14" ht="15.75">
      <c r="A64" s="74">
        <f t="shared" si="3"/>
        <v>17</v>
      </c>
      <c r="B64" s="75" t="s">
        <v>135</v>
      </c>
      <c r="C64" s="10" t="s">
        <v>62</v>
      </c>
      <c r="D64" s="10"/>
      <c r="E64" s="28">
        <v>288</v>
      </c>
      <c r="F64" s="18"/>
      <c r="G64" s="10">
        <v>2815</v>
      </c>
      <c r="H64" s="10"/>
      <c r="I64" s="107"/>
      <c r="J64" s="18"/>
      <c r="K64" s="106">
        <f t="shared" si="1"/>
        <v>3103</v>
      </c>
      <c r="L64" s="10"/>
      <c r="M64" s="10"/>
      <c r="N64" s="10"/>
    </row>
    <row r="65" spans="1:14" ht="15.75">
      <c r="A65" s="15">
        <f t="shared" si="3"/>
        <v>18</v>
      </c>
      <c r="B65" s="16" t="s">
        <v>136</v>
      </c>
      <c r="C65" s="10" t="s">
        <v>62</v>
      </c>
      <c r="D65" s="10"/>
      <c r="E65" s="28"/>
      <c r="F65" s="18"/>
      <c r="G65" s="10"/>
      <c r="H65" s="10"/>
      <c r="I65" s="107"/>
      <c r="J65" s="18"/>
      <c r="K65" s="106">
        <f t="shared" si="1"/>
        <v>0</v>
      </c>
      <c r="L65" s="10"/>
      <c r="M65" s="10"/>
      <c r="N65" s="10"/>
    </row>
    <row r="66" spans="1:14" ht="15.75">
      <c r="A66" s="15">
        <f t="shared" si="3"/>
        <v>19</v>
      </c>
      <c r="B66" s="16" t="s">
        <v>137</v>
      </c>
      <c r="C66" s="10" t="s">
        <v>62</v>
      </c>
      <c r="D66" s="10"/>
      <c r="E66" s="28">
        <v>5100</v>
      </c>
      <c r="F66" s="18"/>
      <c r="G66" s="10">
        <v>500</v>
      </c>
      <c r="H66" s="10"/>
      <c r="I66" s="107"/>
      <c r="J66" s="18"/>
      <c r="K66" s="106">
        <f t="shared" si="1"/>
        <v>5600</v>
      </c>
      <c r="L66" s="10"/>
      <c r="M66" s="10"/>
      <c r="N66" s="10"/>
    </row>
    <row r="67" spans="1:14" ht="15.75">
      <c r="A67" s="15">
        <f t="shared" si="3"/>
        <v>20</v>
      </c>
      <c r="B67" s="16" t="s">
        <v>138</v>
      </c>
      <c r="C67" s="10" t="s">
        <v>62</v>
      </c>
      <c r="D67" s="10"/>
      <c r="E67" s="28"/>
      <c r="F67" s="18"/>
      <c r="G67" s="10"/>
      <c r="H67" s="10"/>
      <c r="I67" s="107"/>
      <c r="J67" s="18"/>
      <c r="K67" s="106">
        <f t="shared" si="1"/>
        <v>0</v>
      </c>
      <c r="L67" s="10"/>
      <c r="M67" s="10"/>
      <c r="N67" s="10"/>
    </row>
    <row r="68" spans="1:14" ht="15.75">
      <c r="A68" s="15">
        <f t="shared" si="3"/>
        <v>21</v>
      </c>
      <c r="B68" s="62" t="s">
        <v>139</v>
      </c>
      <c r="C68" s="10" t="s">
        <v>62</v>
      </c>
      <c r="D68" s="10"/>
      <c r="E68" s="28"/>
      <c r="F68" s="18"/>
      <c r="G68" s="10"/>
      <c r="H68" s="10"/>
      <c r="I68" s="107"/>
      <c r="J68" s="18"/>
      <c r="K68" s="106">
        <f t="shared" si="1"/>
        <v>0</v>
      </c>
      <c r="L68" s="10"/>
      <c r="M68" s="10"/>
      <c r="N68" s="10"/>
    </row>
    <row r="69" spans="1:14" ht="15.75">
      <c r="A69" s="15">
        <f t="shared" si="3"/>
        <v>22</v>
      </c>
      <c r="B69" s="62" t="s">
        <v>140</v>
      </c>
      <c r="C69" s="10" t="s">
        <v>62</v>
      </c>
      <c r="D69" s="10"/>
      <c r="E69" s="28"/>
      <c r="F69" s="18"/>
      <c r="G69" s="10"/>
      <c r="H69" s="10"/>
      <c r="I69" s="107"/>
      <c r="J69" s="18"/>
      <c r="K69" s="106">
        <f t="shared" si="1"/>
        <v>0</v>
      </c>
      <c r="L69" s="10"/>
      <c r="M69" s="10"/>
      <c r="N69" s="10"/>
    </row>
    <row r="70" spans="1:14" ht="15.75">
      <c r="A70" s="15">
        <f t="shared" si="3"/>
        <v>23</v>
      </c>
      <c r="B70" s="62" t="s">
        <v>141</v>
      </c>
      <c r="C70" s="10" t="s">
        <v>62</v>
      </c>
      <c r="D70" s="10"/>
      <c r="E70" s="28">
        <v>49</v>
      </c>
      <c r="F70" s="18"/>
      <c r="G70" s="10">
        <v>1</v>
      </c>
      <c r="H70" s="10"/>
      <c r="I70" s="107"/>
      <c r="J70" s="18"/>
      <c r="K70" s="106">
        <f t="shared" ref="K70:K116" si="4">D70+E70+F70+G70+H70+I70+J70</f>
        <v>50</v>
      </c>
      <c r="L70" s="10"/>
      <c r="M70" s="10"/>
      <c r="N70" s="10"/>
    </row>
    <row r="71" spans="1:14" ht="15.75">
      <c r="A71" s="15">
        <f t="shared" si="3"/>
        <v>24</v>
      </c>
      <c r="B71" s="62" t="s">
        <v>142</v>
      </c>
      <c r="C71" s="10" t="s">
        <v>62</v>
      </c>
      <c r="D71" s="10"/>
      <c r="E71" s="28">
        <v>20</v>
      </c>
      <c r="F71" s="18"/>
      <c r="G71" s="10"/>
      <c r="H71" s="10"/>
      <c r="I71" s="107"/>
      <c r="J71" s="18"/>
      <c r="K71" s="106">
        <f t="shared" si="4"/>
        <v>20</v>
      </c>
      <c r="L71" s="10"/>
      <c r="M71" s="10"/>
      <c r="N71" s="10"/>
    </row>
    <row r="72" spans="1:14">
      <c r="A72" s="12"/>
      <c r="B72" s="21" t="s">
        <v>143</v>
      </c>
      <c r="C72" s="10"/>
      <c r="D72" s="10"/>
      <c r="E72" s="28"/>
      <c r="F72" s="18"/>
      <c r="G72" s="10"/>
      <c r="H72" s="10"/>
      <c r="I72" s="107"/>
      <c r="J72" s="18"/>
      <c r="K72" s="106">
        <f t="shared" si="4"/>
        <v>0</v>
      </c>
      <c r="L72" s="10"/>
      <c r="M72" s="10"/>
      <c r="N72" s="10"/>
    </row>
    <row r="73" spans="1:14">
      <c r="A73" s="12"/>
      <c r="B73" s="20" t="s">
        <v>144</v>
      </c>
      <c r="C73" s="1"/>
      <c r="D73" s="1"/>
      <c r="E73" s="28"/>
      <c r="F73" s="18"/>
      <c r="G73" s="10"/>
      <c r="H73" s="10"/>
      <c r="I73" s="107"/>
      <c r="J73" s="18"/>
      <c r="K73" s="106">
        <f t="shared" si="4"/>
        <v>0</v>
      </c>
      <c r="L73" s="10"/>
      <c r="M73" s="1"/>
      <c r="N73" s="10"/>
    </row>
    <row r="74" spans="1:14" ht="15.75">
      <c r="A74" s="74">
        <v>1</v>
      </c>
      <c r="B74" s="75" t="s">
        <v>145</v>
      </c>
      <c r="C74" s="10" t="s">
        <v>62</v>
      </c>
      <c r="D74" s="10"/>
      <c r="E74" s="106">
        <v>0</v>
      </c>
      <c r="F74" s="18"/>
      <c r="G74" s="10"/>
      <c r="H74" s="10"/>
      <c r="I74" s="107"/>
      <c r="J74" s="18"/>
      <c r="K74" s="106">
        <f t="shared" si="4"/>
        <v>0</v>
      </c>
      <c r="L74" s="10">
        <v>0</v>
      </c>
      <c r="M74" s="10"/>
      <c r="N74" s="10"/>
    </row>
    <row r="75" spans="1:14" ht="15.75">
      <c r="A75" s="15">
        <f t="shared" ref="A75:A98" si="5">A74+1</f>
        <v>2</v>
      </c>
      <c r="B75" s="16" t="s">
        <v>146</v>
      </c>
      <c r="C75" s="10" t="s">
        <v>62</v>
      </c>
      <c r="D75" s="10"/>
      <c r="E75" s="106"/>
      <c r="F75" s="18"/>
      <c r="G75" s="10"/>
      <c r="H75" s="10"/>
      <c r="I75" s="107"/>
      <c r="J75" s="18"/>
      <c r="K75" s="106">
        <f t="shared" si="4"/>
        <v>0</v>
      </c>
      <c r="L75" s="10">
        <v>10000</v>
      </c>
      <c r="M75" s="10" t="s">
        <v>70</v>
      </c>
      <c r="N75" s="10"/>
    </row>
    <row r="76" spans="1:14" ht="15.75">
      <c r="A76" s="15">
        <f t="shared" si="5"/>
        <v>3</v>
      </c>
      <c r="B76" s="16" t="s">
        <v>147</v>
      </c>
      <c r="C76" s="10" t="s">
        <v>62</v>
      </c>
      <c r="D76" s="10"/>
      <c r="E76" s="106">
        <f>346</f>
        <v>346</v>
      </c>
      <c r="F76" s="18"/>
      <c r="G76" s="10"/>
      <c r="H76" s="10"/>
      <c r="I76" s="107"/>
      <c r="J76" s="18"/>
      <c r="K76" s="106">
        <f t="shared" si="4"/>
        <v>346</v>
      </c>
      <c r="L76" s="10">
        <v>500</v>
      </c>
      <c r="M76" s="10" t="s">
        <v>70</v>
      </c>
      <c r="N76" s="10"/>
    </row>
    <row r="77" spans="1:14" ht="15.75">
      <c r="A77" s="15">
        <f t="shared" si="5"/>
        <v>4</v>
      </c>
      <c r="B77" s="16" t="s">
        <v>148</v>
      </c>
      <c r="C77" s="10" t="s">
        <v>62</v>
      </c>
      <c r="D77" s="10"/>
      <c r="E77" s="106">
        <f>1388</f>
        <v>1388</v>
      </c>
      <c r="F77" s="18"/>
      <c r="G77" s="10"/>
      <c r="H77" s="10"/>
      <c r="I77" s="107"/>
      <c r="J77" s="18"/>
      <c r="K77" s="106">
        <f t="shared" si="4"/>
        <v>1388</v>
      </c>
      <c r="L77" s="10">
        <v>2000</v>
      </c>
      <c r="M77" s="10" t="s">
        <v>149</v>
      </c>
      <c r="N77" s="10"/>
    </row>
    <row r="78" spans="1:14" ht="15.75">
      <c r="A78" s="15">
        <f t="shared" si="5"/>
        <v>5</v>
      </c>
      <c r="B78" s="16" t="s">
        <v>150</v>
      </c>
      <c r="C78" s="10" t="s">
        <v>62</v>
      </c>
      <c r="D78" s="10"/>
      <c r="E78" s="106">
        <f>2613</f>
        <v>2613</v>
      </c>
      <c r="F78" s="18"/>
      <c r="G78" s="10"/>
      <c r="H78" s="10"/>
      <c r="I78" s="107"/>
      <c r="J78" s="18"/>
      <c r="K78" s="106">
        <f t="shared" si="4"/>
        <v>2613</v>
      </c>
      <c r="L78" s="10">
        <v>600</v>
      </c>
      <c r="M78" s="10" t="s">
        <v>70</v>
      </c>
      <c r="N78" s="10"/>
    </row>
    <row r="79" spans="1:14" ht="15.75">
      <c r="A79" s="15">
        <f t="shared" si="5"/>
        <v>6</v>
      </c>
      <c r="B79" s="16" t="s">
        <v>151</v>
      </c>
      <c r="C79" s="10" t="s">
        <v>62</v>
      </c>
      <c r="D79" s="10"/>
      <c r="E79" s="106">
        <f>1436</f>
        <v>1436</v>
      </c>
      <c r="F79" s="18"/>
      <c r="G79" s="10"/>
      <c r="H79" s="10"/>
      <c r="I79" s="107"/>
      <c r="J79" s="18"/>
      <c r="K79" s="106">
        <f t="shared" si="4"/>
        <v>1436</v>
      </c>
      <c r="L79" s="10"/>
      <c r="M79" s="10" t="s">
        <v>70</v>
      </c>
      <c r="N79" s="10"/>
    </row>
    <row r="80" spans="1:14" ht="15.75">
      <c r="A80" s="15">
        <f t="shared" si="5"/>
        <v>7</v>
      </c>
      <c r="B80" s="16" t="s">
        <v>152</v>
      </c>
      <c r="C80" s="10" t="s">
        <v>62</v>
      </c>
      <c r="D80" s="10"/>
      <c r="E80" s="106">
        <f>2500</f>
        <v>2500</v>
      </c>
      <c r="F80" s="18"/>
      <c r="G80" s="10"/>
      <c r="H80" s="10"/>
      <c r="I80" s="107"/>
      <c r="J80" s="18"/>
      <c r="K80" s="106">
        <f t="shared" si="4"/>
        <v>2500</v>
      </c>
      <c r="L80" s="10">
        <v>1000</v>
      </c>
      <c r="M80" s="10" t="s">
        <v>149</v>
      </c>
      <c r="N80" s="10"/>
    </row>
    <row r="81" spans="1:14" ht="15.75">
      <c r="A81" s="15">
        <f t="shared" si="5"/>
        <v>8</v>
      </c>
      <c r="B81" s="16" t="s">
        <v>153</v>
      </c>
      <c r="C81" s="10" t="s">
        <v>62</v>
      </c>
      <c r="D81" s="10"/>
      <c r="E81" s="106">
        <f>5000+2425</f>
        <v>7425</v>
      </c>
      <c r="F81" s="18"/>
      <c r="G81" s="10"/>
      <c r="H81" s="10"/>
      <c r="I81" s="107"/>
      <c r="J81" s="18"/>
      <c r="K81" s="106">
        <f t="shared" si="4"/>
        <v>7425</v>
      </c>
      <c r="L81" s="10">
        <v>500</v>
      </c>
      <c r="M81" s="10" t="s">
        <v>63</v>
      </c>
      <c r="N81" s="10"/>
    </row>
    <row r="82" spans="1:14" ht="15.75">
      <c r="A82" s="15">
        <f t="shared" si="5"/>
        <v>9</v>
      </c>
      <c r="B82" s="16" t="s">
        <v>154</v>
      </c>
      <c r="C82" s="10" t="s">
        <v>62</v>
      </c>
      <c r="D82" s="10"/>
      <c r="E82" s="106">
        <f>486</f>
        <v>486</v>
      </c>
      <c r="F82" s="18"/>
      <c r="G82" s="10"/>
      <c r="H82" s="10"/>
      <c r="I82" s="107"/>
      <c r="J82" s="18"/>
      <c r="K82" s="106">
        <f t="shared" si="4"/>
        <v>486</v>
      </c>
      <c r="L82" s="10"/>
      <c r="M82" s="10" t="s">
        <v>63</v>
      </c>
      <c r="N82" s="10"/>
    </row>
    <row r="83" spans="1:14" ht="15.75">
      <c r="A83" s="15">
        <f t="shared" si="5"/>
        <v>10</v>
      </c>
      <c r="B83" s="16" t="s">
        <v>155</v>
      </c>
      <c r="C83" s="10" t="s">
        <v>62</v>
      </c>
      <c r="D83" s="10"/>
      <c r="E83" s="106">
        <v>1</v>
      </c>
      <c r="F83" s="18"/>
      <c r="G83" s="10">
        <v>26</v>
      </c>
      <c r="H83" s="10"/>
      <c r="I83" s="107"/>
      <c r="J83" s="18"/>
      <c r="K83" s="106">
        <f t="shared" si="4"/>
        <v>27</v>
      </c>
      <c r="L83" s="10"/>
      <c r="M83" s="10" t="s">
        <v>63</v>
      </c>
      <c r="N83" s="10"/>
    </row>
    <row r="84" spans="1:14" ht="15.75">
      <c r="A84" s="15">
        <f t="shared" si="5"/>
        <v>11</v>
      </c>
      <c r="B84" s="16" t="s">
        <v>156</v>
      </c>
      <c r="C84" s="10" t="s">
        <v>62</v>
      </c>
      <c r="D84" s="10"/>
      <c r="E84" s="106">
        <v>0</v>
      </c>
      <c r="F84" s="18"/>
      <c r="G84" s="10"/>
      <c r="H84" s="10"/>
      <c r="I84" s="107"/>
      <c r="J84" s="18"/>
      <c r="K84" s="106">
        <f t="shared" si="4"/>
        <v>0</v>
      </c>
      <c r="L84" s="10">
        <v>10000</v>
      </c>
      <c r="M84" s="10" t="s">
        <v>149</v>
      </c>
      <c r="N84" s="10"/>
    </row>
    <row r="85" spans="1:14" ht="15.75">
      <c r="A85" s="15">
        <f t="shared" si="5"/>
        <v>12</v>
      </c>
      <c r="B85" s="16" t="s">
        <v>157</v>
      </c>
      <c r="C85" s="10" t="s">
        <v>62</v>
      </c>
      <c r="D85" s="10"/>
      <c r="E85" s="106">
        <f>3425+15000+5000</f>
        <v>23425</v>
      </c>
      <c r="F85" s="18"/>
      <c r="G85" s="10"/>
      <c r="H85" s="10"/>
      <c r="I85" s="107"/>
      <c r="J85" s="18"/>
      <c r="K85" s="106">
        <f t="shared" si="4"/>
        <v>23425</v>
      </c>
      <c r="L85" s="10">
        <v>2000</v>
      </c>
      <c r="M85" s="10" t="s">
        <v>70</v>
      </c>
      <c r="N85" s="10"/>
    </row>
    <row r="86" spans="1:14" ht="15.75">
      <c r="A86" s="15">
        <f t="shared" si="5"/>
        <v>13</v>
      </c>
      <c r="B86" s="16" t="s">
        <v>158</v>
      </c>
      <c r="C86" s="10" t="s">
        <v>62</v>
      </c>
      <c r="D86" s="10"/>
      <c r="E86" s="106">
        <f>7100+1400+1886</f>
        <v>10386</v>
      </c>
      <c r="F86" s="18"/>
      <c r="G86" s="10"/>
      <c r="H86" s="10"/>
      <c r="I86" s="107"/>
      <c r="J86" s="18"/>
      <c r="K86" s="106">
        <f t="shared" si="4"/>
        <v>10386</v>
      </c>
      <c r="L86" s="10">
        <v>200</v>
      </c>
      <c r="M86" s="10" t="s">
        <v>70</v>
      </c>
      <c r="N86" s="10"/>
    </row>
    <row r="87" spans="1:14" ht="15.75">
      <c r="A87" s="15">
        <f t="shared" si="5"/>
        <v>14</v>
      </c>
      <c r="B87" s="16" t="s">
        <v>159</v>
      </c>
      <c r="C87" s="10" t="s">
        <v>62</v>
      </c>
      <c r="D87" s="10"/>
      <c r="E87" s="106">
        <f>819+125</f>
        <v>944</v>
      </c>
      <c r="F87" s="18"/>
      <c r="G87" s="10"/>
      <c r="H87" s="10"/>
      <c r="I87" s="107"/>
      <c r="J87" s="18"/>
      <c r="K87" s="106">
        <f t="shared" si="4"/>
        <v>944</v>
      </c>
      <c r="L87" s="10">
        <v>800</v>
      </c>
      <c r="M87" s="10" t="s">
        <v>63</v>
      </c>
      <c r="N87" s="10"/>
    </row>
    <row r="88" spans="1:14" ht="15.75">
      <c r="A88" s="15">
        <f t="shared" si="5"/>
        <v>15</v>
      </c>
      <c r="B88" s="16" t="s">
        <v>160</v>
      </c>
      <c r="C88" s="10" t="s">
        <v>62</v>
      </c>
      <c r="D88" s="10"/>
      <c r="E88" s="106">
        <f>1997</f>
        <v>1997</v>
      </c>
      <c r="F88" s="18"/>
      <c r="G88" s="10"/>
      <c r="H88" s="10"/>
      <c r="I88" s="107"/>
      <c r="J88" s="18"/>
      <c r="K88" s="106">
        <f t="shared" si="4"/>
        <v>1997</v>
      </c>
      <c r="L88" s="10"/>
      <c r="M88" s="10" t="s">
        <v>70</v>
      </c>
      <c r="N88" s="10"/>
    </row>
    <row r="89" spans="1:14" ht="15.75">
      <c r="A89" s="15">
        <f t="shared" si="5"/>
        <v>16</v>
      </c>
      <c r="B89" s="57" t="s">
        <v>161</v>
      </c>
      <c r="C89" s="10" t="s">
        <v>62</v>
      </c>
      <c r="D89" s="10"/>
      <c r="E89" s="106">
        <v>0</v>
      </c>
      <c r="F89" s="18"/>
      <c r="G89" s="10"/>
      <c r="H89" s="10"/>
      <c r="I89" s="107"/>
      <c r="J89" s="18"/>
      <c r="K89" s="106">
        <f t="shared" si="4"/>
        <v>0</v>
      </c>
      <c r="L89" s="10"/>
      <c r="M89" s="10" t="s">
        <v>81</v>
      </c>
      <c r="N89" s="10"/>
    </row>
    <row r="90" spans="1:14" ht="15.75">
      <c r="A90" s="15">
        <f t="shared" si="5"/>
        <v>17</v>
      </c>
      <c r="B90" s="16" t="s">
        <v>162</v>
      </c>
      <c r="C90" s="10" t="s">
        <v>62</v>
      </c>
      <c r="D90" s="10"/>
      <c r="E90" s="106">
        <v>2</v>
      </c>
      <c r="F90" s="18"/>
      <c r="G90" s="10">
        <v>5</v>
      </c>
      <c r="H90" s="10"/>
      <c r="I90" s="107"/>
      <c r="J90" s="18"/>
      <c r="K90" s="106">
        <f t="shared" si="4"/>
        <v>7</v>
      </c>
      <c r="L90" s="10">
        <v>500</v>
      </c>
      <c r="M90" s="10" t="s">
        <v>63</v>
      </c>
      <c r="N90" s="77"/>
    </row>
    <row r="91" spans="1:14" ht="15.75">
      <c r="A91" s="15">
        <f t="shared" si="5"/>
        <v>18</v>
      </c>
      <c r="B91" s="16" t="s">
        <v>163</v>
      </c>
      <c r="C91" s="10" t="s">
        <v>62</v>
      </c>
      <c r="D91" s="10"/>
      <c r="E91" s="106"/>
      <c r="F91" s="18"/>
      <c r="G91" s="10"/>
      <c r="H91" s="10"/>
      <c r="I91" s="107"/>
      <c r="J91" s="18"/>
      <c r="K91" s="106">
        <f t="shared" si="4"/>
        <v>0</v>
      </c>
      <c r="L91" s="10">
        <v>1000</v>
      </c>
      <c r="M91" s="10" t="s">
        <v>63</v>
      </c>
      <c r="N91" s="10"/>
    </row>
    <row r="92" spans="1:14" ht="15.75">
      <c r="A92" s="15">
        <f t="shared" si="5"/>
        <v>19</v>
      </c>
      <c r="B92" s="16" t="s">
        <v>164</v>
      </c>
      <c r="C92" s="10" t="s">
        <v>62</v>
      </c>
      <c r="D92" s="10"/>
      <c r="E92" s="106">
        <f>2325</f>
        <v>2325</v>
      </c>
      <c r="F92" s="18"/>
      <c r="G92" s="10"/>
      <c r="H92" s="10"/>
      <c r="I92" s="107"/>
      <c r="J92" s="18"/>
      <c r="K92" s="106">
        <f t="shared" si="4"/>
        <v>2325</v>
      </c>
      <c r="L92" s="10">
        <v>300</v>
      </c>
      <c r="M92" s="10" t="s">
        <v>63</v>
      </c>
      <c r="N92" s="10"/>
    </row>
    <row r="93" spans="1:14" ht="15.75">
      <c r="A93" s="15">
        <f t="shared" si="5"/>
        <v>20</v>
      </c>
      <c r="B93" s="16" t="s">
        <v>165</v>
      </c>
      <c r="C93" s="10" t="s">
        <v>62</v>
      </c>
      <c r="D93" s="10"/>
      <c r="E93" s="106">
        <f>1350</f>
        <v>1350</v>
      </c>
      <c r="F93" s="18"/>
      <c r="G93" s="10"/>
      <c r="H93" s="10"/>
      <c r="I93" s="107"/>
      <c r="J93" s="18"/>
      <c r="K93" s="106">
        <f t="shared" si="4"/>
        <v>1350</v>
      </c>
      <c r="L93" s="10"/>
      <c r="M93" s="10" t="s">
        <v>63</v>
      </c>
      <c r="N93" s="10"/>
    </row>
    <row r="94" spans="1:14" ht="15.75">
      <c r="A94" s="15">
        <f t="shared" si="5"/>
        <v>21</v>
      </c>
      <c r="B94" s="16" t="s">
        <v>166</v>
      </c>
      <c r="C94" s="10" t="s">
        <v>62</v>
      </c>
      <c r="D94" s="10"/>
      <c r="E94" s="106">
        <f>2813</f>
        <v>2813</v>
      </c>
      <c r="F94" s="18"/>
      <c r="G94" s="10"/>
      <c r="H94" s="10"/>
      <c r="I94" s="107"/>
      <c r="J94" s="18"/>
      <c r="K94" s="106">
        <f t="shared" si="4"/>
        <v>2813</v>
      </c>
      <c r="L94" s="10">
        <v>100</v>
      </c>
      <c r="M94" s="10" t="s">
        <v>63</v>
      </c>
      <c r="N94" s="10"/>
    </row>
    <row r="95" spans="1:14" ht="15.75">
      <c r="A95" s="15">
        <f t="shared" si="5"/>
        <v>22</v>
      </c>
      <c r="B95" s="16" t="s">
        <v>167</v>
      </c>
      <c r="C95" s="10" t="s">
        <v>62</v>
      </c>
      <c r="D95" s="10"/>
      <c r="E95" s="106">
        <f>994</f>
        <v>994</v>
      </c>
      <c r="F95" s="18"/>
      <c r="G95" s="10"/>
      <c r="H95" s="10"/>
      <c r="I95" s="107"/>
      <c r="J95" s="18"/>
      <c r="K95" s="106">
        <f t="shared" si="4"/>
        <v>994</v>
      </c>
      <c r="L95" s="10">
        <v>500</v>
      </c>
      <c r="M95" s="10" t="s">
        <v>63</v>
      </c>
      <c r="N95" s="10"/>
    </row>
    <row r="96" spans="1:14" ht="15.75">
      <c r="A96" s="15">
        <f t="shared" si="5"/>
        <v>23</v>
      </c>
      <c r="B96" s="16" t="s">
        <v>168</v>
      </c>
      <c r="C96" s="10" t="s">
        <v>62</v>
      </c>
      <c r="D96" s="10"/>
      <c r="E96" s="106"/>
      <c r="F96" s="18"/>
      <c r="G96" s="10"/>
      <c r="H96" s="10"/>
      <c r="I96" s="107"/>
      <c r="J96" s="18"/>
      <c r="K96" s="106">
        <f t="shared" si="4"/>
        <v>0</v>
      </c>
      <c r="L96" s="10">
        <v>100</v>
      </c>
      <c r="M96" s="10" t="s">
        <v>70</v>
      </c>
      <c r="N96" s="10"/>
    </row>
    <row r="97" spans="1:14" ht="15.75">
      <c r="A97" s="15">
        <f t="shared" si="5"/>
        <v>24</v>
      </c>
      <c r="B97" s="57" t="s">
        <v>169</v>
      </c>
      <c r="C97" s="10" t="s">
        <v>62</v>
      </c>
      <c r="D97" s="10"/>
      <c r="E97" s="106">
        <v>467</v>
      </c>
      <c r="F97" s="18"/>
      <c r="G97" s="10"/>
      <c r="H97" s="10"/>
      <c r="I97" s="107"/>
      <c r="J97" s="18"/>
      <c r="K97" s="106">
        <f t="shared" si="4"/>
        <v>467</v>
      </c>
      <c r="L97" s="10">
        <v>300</v>
      </c>
      <c r="M97" s="10" t="s">
        <v>70</v>
      </c>
      <c r="N97" s="10"/>
    </row>
    <row r="98" spans="1:14" ht="15.75">
      <c r="A98" s="15">
        <f t="shared" si="5"/>
        <v>25</v>
      </c>
      <c r="B98" s="16" t="s">
        <v>170</v>
      </c>
      <c r="C98" s="10" t="s">
        <v>62</v>
      </c>
      <c r="D98" s="10"/>
      <c r="E98" s="106">
        <v>1000</v>
      </c>
      <c r="F98" s="18"/>
      <c r="G98" s="10"/>
      <c r="H98" s="10"/>
      <c r="I98" s="107"/>
      <c r="J98" s="18"/>
      <c r="K98" s="106">
        <f t="shared" si="4"/>
        <v>1000</v>
      </c>
      <c r="L98" s="10"/>
      <c r="M98" s="10" t="s">
        <v>70</v>
      </c>
      <c r="N98" s="28"/>
    </row>
    <row r="99" spans="1:14">
      <c r="A99" s="12"/>
      <c r="B99" s="21" t="s">
        <v>171</v>
      </c>
      <c r="C99" s="10"/>
      <c r="D99" s="10"/>
      <c r="E99" s="106">
        <v>0</v>
      </c>
      <c r="F99" s="18"/>
      <c r="G99" s="10"/>
      <c r="H99" s="10"/>
      <c r="I99" s="107"/>
      <c r="J99" s="18"/>
      <c r="K99" s="106">
        <f t="shared" si="4"/>
        <v>0</v>
      </c>
      <c r="L99" s="10"/>
      <c r="M99" s="10"/>
      <c r="N99" s="1"/>
    </row>
    <row r="100" spans="1:14">
      <c r="A100" s="12"/>
      <c r="B100" s="20" t="s">
        <v>172</v>
      </c>
      <c r="C100" s="1"/>
      <c r="D100" s="1"/>
      <c r="E100" s="106">
        <v>0</v>
      </c>
      <c r="F100" s="18"/>
      <c r="G100" s="10"/>
      <c r="H100" s="10"/>
      <c r="I100" s="107"/>
      <c r="J100" s="18"/>
      <c r="K100" s="106">
        <f t="shared" si="4"/>
        <v>0</v>
      </c>
      <c r="L100" s="10"/>
      <c r="M100" s="1"/>
      <c r="N100" s="10"/>
    </row>
    <row r="101" spans="1:14" ht="15.75">
      <c r="A101" s="15">
        <v>1</v>
      </c>
      <c r="B101" s="16" t="s">
        <v>173</v>
      </c>
      <c r="C101" s="10" t="s">
        <v>174</v>
      </c>
      <c r="D101" s="10"/>
      <c r="E101" s="106">
        <v>0</v>
      </c>
      <c r="F101" s="18"/>
      <c r="G101" s="10">
        <v>0</v>
      </c>
      <c r="H101" s="10"/>
      <c r="I101" s="107">
        <v>0</v>
      </c>
      <c r="J101" s="18"/>
      <c r="K101" s="106">
        <f t="shared" si="4"/>
        <v>0</v>
      </c>
      <c r="L101" s="10">
        <v>50</v>
      </c>
      <c r="M101" s="10" t="s">
        <v>63</v>
      </c>
      <c r="N101" s="10"/>
    </row>
    <row r="102" spans="1:14" ht="15.75">
      <c r="A102" s="15">
        <f t="shared" ref="A102:A116" si="6">A101+1</f>
        <v>2</v>
      </c>
      <c r="B102" s="16" t="s">
        <v>175</v>
      </c>
      <c r="C102" s="10" t="s">
        <v>62</v>
      </c>
      <c r="D102" s="10"/>
      <c r="E102" s="106"/>
      <c r="F102" s="18"/>
      <c r="G102" s="10"/>
      <c r="H102" s="10">
        <f>10+10</f>
        <v>20</v>
      </c>
      <c r="I102" s="107">
        <f>0</f>
        <v>0</v>
      </c>
      <c r="J102" s="18"/>
      <c r="K102" s="106">
        <f t="shared" si="4"/>
        <v>20</v>
      </c>
      <c r="L102" s="10"/>
      <c r="M102" s="10" t="s">
        <v>176</v>
      </c>
      <c r="N102" s="10" t="s">
        <v>102</v>
      </c>
    </row>
    <row r="103" spans="1:14" ht="15.75">
      <c r="A103" s="15">
        <f t="shared" si="6"/>
        <v>3</v>
      </c>
      <c r="B103" s="16" t="s">
        <v>177</v>
      </c>
      <c r="C103" s="10" t="s">
        <v>174</v>
      </c>
      <c r="D103" s="10"/>
      <c r="E103" s="106"/>
      <c r="F103" s="18"/>
      <c r="G103" s="10"/>
      <c r="H103" s="10">
        <v>0</v>
      </c>
      <c r="I103" s="107">
        <f>3</f>
        <v>3</v>
      </c>
      <c r="J103" s="18"/>
      <c r="K103" s="106">
        <f t="shared" si="4"/>
        <v>3</v>
      </c>
      <c r="L103" s="10">
        <v>1000</v>
      </c>
      <c r="M103" s="10" t="s">
        <v>70</v>
      </c>
      <c r="N103" s="10" t="s">
        <v>230</v>
      </c>
    </row>
    <row r="104" spans="1:14" ht="15.75">
      <c r="A104" s="15">
        <f t="shared" si="6"/>
        <v>4</v>
      </c>
      <c r="B104" s="57" t="s">
        <v>178</v>
      </c>
      <c r="C104" s="10" t="s">
        <v>174</v>
      </c>
      <c r="D104" s="10"/>
      <c r="E104" s="106">
        <v>0</v>
      </c>
      <c r="F104" s="18"/>
      <c r="G104" s="10">
        <v>0</v>
      </c>
      <c r="H104" s="10">
        <v>0</v>
      </c>
      <c r="I104" s="107">
        <v>0</v>
      </c>
      <c r="J104" s="18"/>
      <c r="K104" s="106">
        <f t="shared" si="4"/>
        <v>0</v>
      </c>
      <c r="L104" s="10"/>
      <c r="M104" s="10" t="s">
        <v>63</v>
      </c>
      <c r="N104" s="10"/>
    </row>
    <row r="105" spans="1:14" ht="15.75">
      <c r="A105" s="15">
        <f t="shared" si="6"/>
        <v>5</v>
      </c>
      <c r="B105" s="57" t="s">
        <v>179</v>
      </c>
      <c r="C105" s="10" t="s">
        <v>62</v>
      </c>
      <c r="D105" s="10"/>
      <c r="E105" s="106">
        <v>0</v>
      </c>
      <c r="F105" s="18"/>
      <c r="G105" s="10">
        <v>0</v>
      </c>
      <c r="H105" s="10">
        <v>0</v>
      </c>
      <c r="I105" s="107">
        <v>0</v>
      </c>
      <c r="J105" s="18"/>
      <c r="K105" s="106">
        <f t="shared" si="4"/>
        <v>0</v>
      </c>
      <c r="L105" s="10"/>
      <c r="M105" s="10" t="s">
        <v>176</v>
      </c>
      <c r="N105" s="10"/>
    </row>
    <row r="106" spans="1:14" ht="15.75">
      <c r="A106" s="15">
        <f t="shared" si="6"/>
        <v>6</v>
      </c>
      <c r="B106" s="16" t="s">
        <v>180</v>
      </c>
      <c r="C106" s="10" t="s">
        <v>174</v>
      </c>
      <c r="D106" s="10"/>
      <c r="E106" s="106">
        <v>0</v>
      </c>
      <c r="F106" s="18"/>
      <c r="G106" s="10">
        <v>0</v>
      </c>
      <c r="H106" s="10">
        <v>0</v>
      </c>
      <c r="I106" s="107">
        <v>0</v>
      </c>
      <c r="J106" s="18"/>
      <c r="K106" s="106">
        <f t="shared" si="4"/>
        <v>0</v>
      </c>
      <c r="L106" s="10"/>
      <c r="M106" s="10" t="s">
        <v>63</v>
      </c>
      <c r="N106" s="10"/>
    </row>
    <row r="107" spans="1:14" ht="15.75">
      <c r="A107" s="15">
        <f t="shared" si="6"/>
        <v>7</v>
      </c>
      <c r="B107" s="16" t="s">
        <v>226</v>
      </c>
      <c r="C107" s="10" t="s">
        <v>85</v>
      </c>
      <c r="D107" s="10"/>
      <c r="E107" s="106">
        <f>207-20-180</f>
        <v>7</v>
      </c>
      <c r="F107" s="18"/>
      <c r="G107" s="10"/>
      <c r="H107" s="10"/>
      <c r="I107" s="107"/>
      <c r="J107" s="18"/>
      <c r="K107" s="106">
        <f t="shared" si="4"/>
        <v>7</v>
      </c>
      <c r="L107" s="10"/>
      <c r="M107" s="10" t="s">
        <v>227</v>
      </c>
      <c r="N107" s="10" t="s">
        <v>228</v>
      </c>
    </row>
    <row r="108" spans="1:14" ht="15.75">
      <c r="A108" s="15">
        <f t="shared" si="6"/>
        <v>8</v>
      </c>
      <c r="B108" s="16" t="s">
        <v>181</v>
      </c>
      <c r="C108" s="10" t="s">
        <v>127</v>
      </c>
      <c r="D108" s="10"/>
      <c r="E108" s="106">
        <v>0</v>
      </c>
      <c r="F108" s="18"/>
      <c r="G108" s="10">
        <v>0</v>
      </c>
      <c r="H108" s="10">
        <v>0</v>
      </c>
      <c r="I108" s="107">
        <v>0</v>
      </c>
      <c r="J108" s="18"/>
      <c r="K108" s="106">
        <f t="shared" si="4"/>
        <v>0</v>
      </c>
      <c r="L108" s="10"/>
      <c r="M108" s="10" t="s">
        <v>63</v>
      </c>
      <c r="N108" s="10"/>
    </row>
    <row r="109" spans="1:14" ht="15.75">
      <c r="A109" s="15">
        <f t="shared" si="6"/>
        <v>9</v>
      </c>
      <c r="B109" s="16" t="s">
        <v>182</v>
      </c>
      <c r="C109" s="10" t="s">
        <v>174</v>
      </c>
      <c r="D109" s="10"/>
      <c r="E109" s="106">
        <f>162</f>
        <v>162</v>
      </c>
      <c r="F109" s="18"/>
      <c r="G109" s="10">
        <v>0</v>
      </c>
      <c r="H109" s="10">
        <v>0</v>
      </c>
      <c r="I109" s="107">
        <f>7</f>
        <v>7</v>
      </c>
      <c r="J109" s="18"/>
      <c r="K109" s="106">
        <f t="shared" si="4"/>
        <v>169</v>
      </c>
      <c r="L109" s="1"/>
      <c r="M109" s="10" t="s">
        <v>63</v>
      </c>
      <c r="N109" s="10"/>
    </row>
    <row r="110" spans="1:14" ht="15.75">
      <c r="A110" s="15">
        <f t="shared" si="6"/>
        <v>10</v>
      </c>
      <c r="B110" s="16" t="s">
        <v>183</v>
      </c>
      <c r="C110" s="10" t="s">
        <v>62</v>
      </c>
      <c r="D110" s="10"/>
      <c r="E110" s="106">
        <v>0</v>
      </c>
      <c r="F110" s="18"/>
      <c r="G110" s="10">
        <v>0</v>
      </c>
      <c r="H110" s="10">
        <v>0</v>
      </c>
      <c r="I110" s="107">
        <v>0</v>
      </c>
      <c r="J110" s="18"/>
      <c r="K110" s="106">
        <f t="shared" si="4"/>
        <v>0</v>
      </c>
      <c r="L110" s="10">
        <v>1000</v>
      </c>
      <c r="M110" s="10" t="s">
        <v>70</v>
      </c>
      <c r="N110" s="10"/>
    </row>
    <row r="111" spans="1:14" ht="15.75">
      <c r="A111" s="15">
        <f t="shared" si="6"/>
        <v>11</v>
      </c>
      <c r="B111" s="16" t="s">
        <v>184</v>
      </c>
      <c r="C111" s="10" t="s">
        <v>127</v>
      </c>
      <c r="D111" s="10"/>
      <c r="E111" s="106">
        <v>0</v>
      </c>
      <c r="F111" s="18"/>
      <c r="G111" s="10">
        <v>0</v>
      </c>
      <c r="H111" s="10">
        <v>0</v>
      </c>
      <c r="I111" s="107">
        <v>0</v>
      </c>
      <c r="J111" s="18"/>
      <c r="K111" s="106">
        <f t="shared" si="4"/>
        <v>0</v>
      </c>
      <c r="L111" s="10"/>
      <c r="M111" s="10" t="s">
        <v>63</v>
      </c>
      <c r="N111" s="10"/>
    </row>
    <row r="112" spans="1:14" ht="15.75">
      <c r="A112" s="15">
        <f t="shared" si="6"/>
        <v>12</v>
      </c>
      <c r="B112" s="16" t="s">
        <v>185</v>
      </c>
      <c r="C112" s="10" t="s">
        <v>174</v>
      </c>
      <c r="D112" s="10"/>
      <c r="E112" s="106"/>
      <c r="F112" s="18"/>
      <c r="G112" s="10">
        <v>17</v>
      </c>
      <c r="H112" s="10">
        <v>0</v>
      </c>
      <c r="I112" s="107">
        <f>2</f>
        <v>2</v>
      </c>
      <c r="J112" s="18"/>
      <c r="K112" s="106">
        <f t="shared" si="4"/>
        <v>19</v>
      </c>
      <c r="L112" s="10"/>
      <c r="M112" s="10" t="s">
        <v>63</v>
      </c>
      <c r="N112" s="10" t="s">
        <v>23</v>
      </c>
    </row>
    <row r="113" spans="1:16" ht="15.75">
      <c r="A113" s="58">
        <f t="shared" si="6"/>
        <v>13</v>
      </c>
      <c r="B113" s="59" t="s">
        <v>186</v>
      </c>
      <c r="C113" s="60" t="s">
        <v>62</v>
      </c>
      <c r="D113" s="60"/>
      <c r="E113" s="110"/>
      <c r="F113" s="76"/>
      <c r="G113" s="11">
        <v>888</v>
      </c>
      <c r="H113" s="11"/>
      <c r="I113" s="111">
        <v>37</v>
      </c>
      <c r="J113" s="76"/>
      <c r="K113" s="106">
        <f t="shared" si="4"/>
        <v>925</v>
      </c>
      <c r="L113" s="60">
        <v>1000</v>
      </c>
      <c r="M113" s="60" t="s">
        <v>63</v>
      </c>
      <c r="N113" s="60" t="s">
        <v>187</v>
      </c>
      <c r="O113" s="78"/>
      <c r="P113" s="27"/>
    </row>
    <row r="114" spans="1:16" ht="15.75">
      <c r="A114" s="15">
        <f t="shared" si="6"/>
        <v>14</v>
      </c>
      <c r="B114" s="62" t="s">
        <v>188</v>
      </c>
      <c r="C114" s="10" t="s">
        <v>174</v>
      </c>
      <c r="D114" s="10"/>
      <c r="E114" s="106">
        <f>100-100</f>
        <v>0</v>
      </c>
      <c r="F114" s="18"/>
      <c r="G114" s="10">
        <v>0</v>
      </c>
      <c r="H114" s="10">
        <v>0</v>
      </c>
      <c r="I114" s="107">
        <v>0</v>
      </c>
      <c r="J114" s="18"/>
      <c r="K114" s="106">
        <f t="shared" si="4"/>
        <v>0</v>
      </c>
      <c r="L114" s="10"/>
      <c r="M114" s="10" t="s">
        <v>63</v>
      </c>
      <c r="N114" s="10"/>
    </row>
    <row r="115" spans="1:16" ht="15.75">
      <c r="A115" s="15">
        <f t="shared" si="6"/>
        <v>15</v>
      </c>
      <c r="B115" s="16" t="s">
        <v>189</v>
      </c>
      <c r="C115" s="10" t="s">
        <v>174</v>
      </c>
      <c r="D115" s="10"/>
      <c r="E115" s="106">
        <v>5</v>
      </c>
      <c r="F115" s="18"/>
      <c r="G115" s="10">
        <v>16</v>
      </c>
      <c r="H115" s="10">
        <v>0</v>
      </c>
      <c r="I115" s="107">
        <f>2+10</f>
        <v>12</v>
      </c>
      <c r="J115" s="18"/>
      <c r="K115" s="106">
        <f t="shared" si="4"/>
        <v>33</v>
      </c>
      <c r="L115" s="10">
        <v>200</v>
      </c>
      <c r="M115" s="10" t="s">
        <v>63</v>
      </c>
      <c r="N115" s="10" t="s">
        <v>232</v>
      </c>
    </row>
    <row r="116" spans="1:16" ht="15.75">
      <c r="A116" s="15">
        <f t="shared" si="6"/>
        <v>16</v>
      </c>
      <c r="B116" s="16" t="s">
        <v>190</v>
      </c>
      <c r="C116" s="10" t="s">
        <v>62</v>
      </c>
      <c r="D116" s="10"/>
      <c r="E116" s="106">
        <v>0</v>
      </c>
      <c r="F116" s="18"/>
      <c r="G116" s="10"/>
      <c r="H116" s="10">
        <v>0</v>
      </c>
      <c r="I116" s="107">
        <v>0</v>
      </c>
      <c r="J116" s="18"/>
      <c r="K116" s="106">
        <f t="shared" si="4"/>
        <v>0</v>
      </c>
      <c r="L116" s="10">
        <v>2000</v>
      </c>
      <c r="M116" s="10" t="s">
        <v>70</v>
      </c>
      <c r="N116" s="10"/>
    </row>
  </sheetData>
  <conditionalFormatting sqref="K5:L1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{DCC4B70D-5156-4CFE-AC88-4B283BD492B6}</x14:id>
        </ext>
      </extLst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:M11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{AEC17821-E203-46C0-A76F-47E8902F1EFC}</x14:id>
        </ext>
      </extLst>
    </cfRule>
  </conditionalFormatting>
  <conditionalFormatting sqref="N5:N1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{064921A6-9DB0-4199-A7B6-D3BD555355B3}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C4B70D-5156-4CFE-AC88-4B283BD492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K5:L116</xm:sqref>
        </x14:conditionalFormatting>
        <x14:conditionalFormatting xmlns:xm="http://schemas.microsoft.com/office/excel/2006/main">
          <x14:cfRule type="dataBar" id="{AEC17821-E203-46C0-A76F-47E8902F1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K5:M116</xm:sqref>
        </x14:conditionalFormatting>
        <x14:conditionalFormatting xmlns:xm="http://schemas.microsoft.com/office/excel/2006/main">
          <x14:cfRule type="dataBar" id="{064921A6-9DB0-4199-A7B6-D3BD55535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N5:N116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workbookViewId="0">
      <pane xSplit="8" ySplit="9" topLeftCell="I23" activePane="bottomRight" state="frozen"/>
      <selection pane="topRight"/>
      <selection pane="bottomLeft"/>
      <selection pane="bottomRight" activeCell="D27" sqref="D27"/>
    </sheetView>
  </sheetViews>
  <sheetFormatPr defaultColWidth="9" defaultRowHeight="15"/>
  <cols>
    <col min="1" max="1" width="4.7109375" customWidth="1"/>
    <col min="2" max="2" width="26.5703125" customWidth="1"/>
    <col min="3" max="3" width="19.7109375" style="1" customWidth="1"/>
    <col min="4" max="4" width="10.5703125" customWidth="1"/>
    <col min="5" max="5" width="13" customWidth="1"/>
    <col min="6" max="6" width="14.5703125" customWidth="1"/>
    <col min="10" max="10" width="13.28515625" customWidth="1"/>
    <col min="11" max="11" width="18.7109375" style="1" customWidth="1"/>
    <col min="12" max="12" width="27.5703125" customWidth="1"/>
    <col min="13" max="13" width="25" customWidth="1"/>
  </cols>
  <sheetData>
    <row r="1" spans="1:13" ht="29.25">
      <c r="A1" s="150" t="s">
        <v>241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2"/>
    </row>
    <row r="2" spans="1:13" ht="15.75">
      <c r="A2" s="5" t="s">
        <v>49</v>
      </c>
      <c r="B2" s="6" t="s">
        <v>50</v>
      </c>
      <c r="C2" s="7"/>
      <c r="D2" s="5" t="s">
        <v>51</v>
      </c>
      <c r="E2" s="8">
        <f ca="1">F2-1</f>
        <v>46043.747614236112</v>
      </c>
      <c r="F2" s="9">
        <f ca="1">NOW()</f>
        <v>46044.747614236112</v>
      </c>
      <c r="G2" s="10"/>
      <c r="H2" s="11" t="str">
        <f ca="1">"Week"&amp;" "&amp;WEEKNUM(E2)</f>
        <v>Week 4</v>
      </c>
      <c r="I2" s="5"/>
      <c r="J2" s="5"/>
      <c r="K2" s="7" t="s">
        <v>58</v>
      </c>
      <c r="L2" s="7" t="s">
        <v>52</v>
      </c>
      <c r="M2" s="7" t="s">
        <v>53</v>
      </c>
    </row>
    <row r="3" spans="1:13">
      <c r="A3" s="12"/>
      <c r="B3" s="13" t="s">
        <v>59</v>
      </c>
      <c r="C3" s="1" t="s">
        <v>55</v>
      </c>
      <c r="D3" s="14" t="s">
        <v>3</v>
      </c>
      <c r="E3" s="14" t="s">
        <v>8</v>
      </c>
      <c r="F3" s="14" t="s">
        <v>6</v>
      </c>
      <c r="G3" s="14" t="s">
        <v>4</v>
      </c>
      <c r="H3" s="14" t="s">
        <v>7</v>
      </c>
      <c r="I3" s="24" t="s">
        <v>56</v>
      </c>
      <c r="J3" s="14" t="s">
        <v>57</v>
      </c>
      <c r="K3" s="7" t="s">
        <v>58</v>
      </c>
      <c r="L3" s="25"/>
      <c r="M3" s="25"/>
    </row>
    <row r="4" spans="1:13" ht="15.75">
      <c r="A4" s="15">
        <v>1</v>
      </c>
      <c r="B4" s="16" t="s">
        <v>64</v>
      </c>
      <c r="C4" s="10" t="s">
        <v>62</v>
      </c>
      <c r="D4" s="17">
        <f>'DSL WEEK 2'!E6</f>
        <v>0</v>
      </c>
      <c r="E4" s="17">
        <f>'DSL WEEK 2'!F6</f>
        <v>0</v>
      </c>
      <c r="F4" s="17">
        <f>'DSL WEEK 2'!G6</f>
        <v>1</v>
      </c>
      <c r="G4" s="17">
        <f>'DSL WEEK 2'!H6</f>
        <v>0</v>
      </c>
      <c r="H4" s="17">
        <f>'DSL WEEK 2'!I6</f>
        <v>0</v>
      </c>
      <c r="I4" s="17">
        <f>'DSL WEEK 2'!J6</f>
        <v>0</v>
      </c>
      <c r="J4" s="17">
        <f>'DSL WEEK 2'!K6</f>
        <v>6</v>
      </c>
      <c r="K4" s="17">
        <f>'DSL WEEK 2'!L6</f>
        <v>100</v>
      </c>
      <c r="L4" s="17" t="str">
        <f>'DSL WEEK 2'!M6</f>
        <v>SLOW MOVING PRODUCT</v>
      </c>
      <c r="M4" s="8" t="str">
        <f>'DSL WEEK 2'!N6</f>
        <v>APR/ MAY 2026</v>
      </c>
    </row>
    <row r="5" spans="1:13" ht="15.75" hidden="1">
      <c r="A5" s="15">
        <f t="shared" ref="A5:A10" si="0">A4+1</f>
        <v>2</v>
      </c>
      <c r="B5" s="16" t="s">
        <v>65</v>
      </c>
      <c r="C5" s="10" t="s">
        <v>66</v>
      </c>
      <c r="D5" s="17">
        <f>'DSL WEEK 2'!E7</f>
        <v>0</v>
      </c>
      <c r="E5" s="17">
        <f>'DSL WEEK 2'!F7</f>
        <v>0</v>
      </c>
      <c r="F5" s="17">
        <f>'DSL WEEK 2'!G7</f>
        <v>0</v>
      </c>
      <c r="G5" s="17">
        <f>'DSL WEEK 2'!H7</f>
        <v>0</v>
      </c>
      <c r="H5" s="17">
        <f>'DSL WEEK 2'!I7</f>
        <v>0</v>
      </c>
      <c r="I5" s="17">
        <f>'DSL WEEK 2'!J7</f>
        <v>0</v>
      </c>
      <c r="J5" s="17">
        <f>'DSL WEEK 2'!K7</f>
        <v>0</v>
      </c>
      <c r="K5" s="17">
        <f>'DSL WEEK 2'!L7</f>
        <v>50</v>
      </c>
      <c r="L5" s="17" t="str">
        <f>'DSL WEEK 2'!M7</f>
        <v>SLOW MOVING PRODUCT</v>
      </c>
      <c r="M5" s="17">
        <f>'DSL WEEK 2'!N7</f>
        <v>0</v>
      </c>
    </row>
    <row r="6" spans="1:13" ht="15.75">
      <c r="A6" s="15">
        <f t="shared" si="0"/>
        <v>3</v>
      </c>
      <c r="B6" s="16" t="s">
        <v>74</v>
      </c>
      <c r="C6" s="10" t="s">
        <v>62</v>
      </c>
      <c r="D6" s="17">
        <f>'DSL WEEK 2'!E14</f>
        <v>2</v>
      </c>
      <c r="E6" s="17">
        <f>'DSL WEEK 2'!F14</f>
        <v>0</v>
      </c>
      <c r="F6" s="17">
        <f>'DSL WEEK 2'!G14</f>
        <v>6</v>
      </c>
      <c r="G6" s="17">
        <f>'DSL WEEK 2'!H14</f>
        <v>0</v>
      </c>
      <c r="H6" s="17">
        <f>'DSL WEEK 2'!I14</f>
        <v>4</v>
      </c>
      <c r="I6" s="17">
        <f>'DSL WEEK 2'!J14</f>
        <v>0</v>
      </c>
      <c r="J6" s="17">
        <f>'DSL WEEK 2'!K14</f>
        <v>12</v>
      </c>
      <c r="K6" s="17">
        <f>'DSL WEEK 2'!L14</f>
        <v>100</v>
      </c>
      <c r="L6" s="17" t="str">
        <f>'DSL WEEK 2'!M14</f>
        <v>SLOW MOVING PRODUCT</v>
      </c>
      <c r="M6" s="17" t="str">
        <f>'DSL WEEK 2'!N14</f>
        <v>APR, 2026</v>
      </c>
    </row>
    <row r="7" spans="1:13" ht="15.75" hidden="1">
      <c r="A7" s="15">
        <f t="shared" si="0"/>
        <v>4</v>
      </c>
      <c r="B7" s="16" t="s">
        <v>76</v>
      </c>
      <c r="C7" s="10" t="s">
        <v>66</v>
      </c>
      <c r="D7" s="17">
        <f>'DSL WEEK 2'!E15</f>
        <v>0</v>
      </c>
      <c r="E7" s="18"/>
      <c r="F7" s="18"/>
      <c r="G7" s="18"/>
      <c r="H7" s="19">
        <v>0</v>
      </c>
      <c r="I7" s="18"/>
      <c r="J7" s="26">
        <f t="shared" ref="J7:J10" si="1">D7+E7+F7+G7+H7+I7</f>
        <v>0</v>
      </c>
      <c r="K7" s="10">
        <v>20</v>
      </c>
      <c r="L7" s="10" t="s">
        <v>63</v>
      </c>
      <c r="M7" s="28" t="s">
        <v>77</v>
      </c>
    </row>
    <row r="8" spans="1:13" ht="15.75" hidden="1">
      <c r="A8" s="15">
        <f t="shared" si="0"/>
        <v>5</v>
      </c>
      <c r="B8" s="16" t="s">
        <v>82</v>
      </c>
      <c r="C8" s="10" t="s">
        <v>62</v>
      </c>
      <c r="D8" s="17"/>
      <c r="E8" s="18"/>
      <c r="F8" s="18"/>
      <c r="G8" s="18"/>
      <c r="H8" s="19"/>
      <c r="I8" s="18"/>
      <c r="J8" s="26">
        <f t="shared" si="1"/>
        <v>0</v>
      </c>
      <c r="K8" s="10">
        <v>200</v>
      </c>
      <c r="L8" s="10" t="s">
        <v>63</v>
      </c>
      <c r="M8" s="10" t="s">
        <v>23</v>
      </c>
    </row>
    <row r="9" spans="1:13" ht="15.75" hidden="1">
      <c r="A9" s="15">
        <f t="shared" si="0"/>
        <v>6</v>
      </c>
      <c r="B9" s="16" t="s">
        <v>84</v>
      </c>
      <c r="C9" s="10" t="s">
        <v>85</v>
      </c>
      <c r="D9" s="17">
        <f>'DSL WEEK 2'!E21</f>
        <v>0</v>
      </c>
      <c r="E9" s="17">
        <f>'DSL WEEK 2'!F21</f>
        <v>0</v>
      </c>
      <c r="F9" s="17">
        <f>'DSL WEEK 2'!G21</f>
        <v>0</v>
      </c>
      <c r="G9" s="17">
        <f>'DSL WEEK 2'!H21</f>
        <v>0</v>
      </c>
      <c r="H9" s="17">
        <f>'DSL WEEK 2'!I21</f>
        <v>0</v>
      </c>
      <c r="I9" s="17">
        <f>'DSL WEEK 2'!J21</f>
        <v>0</v>
      </c>
      <c r="J9" s="26">
        <f t="shared" si="1"/>
        <v>0</v>
      </c>
      <c r="K9" s="10">
        <v>100</v>
      </c>
      <c r="L9" s="10" t="s">
        <v>63</v>
      </c>
      <c r="M9" s="10" t="s">
        <v>23</v>
      </c>
    </row>
    <row r="10" spans="1:13" ht="15.75">
      <c r="A10" s="58">
        <f t="shared" si="0"/>
        <v>7</v>
      </c>
      <c r="B10" s="59" t="s">
        <v>86</v>
      </c>
      <c r="C10" s="99" t="s">
        <v>62</v>
      </c>
      <c r="D10" s="100">
        <f>'DSL WEEK 2'!E22</f>
        <v>3120</v>
      </c>
      <c r="E10" s="100">
        <f>'DSL WEEK 2'!F22</f>
        <v>0</v>
      </c>
      <c r="F10" s="100">
        <f>'DSL WEEK 2'!G22</f>
        <v>400</v>
      </c>
      <c r="G10" s="100">
        <f>'DSL WEEK 2'!H22</f>
        <v>0</v>
      </c>
      <c r="H10" s="100">
        <f>'DSL WEEK 2'!I22</f>
        <v>0</v>
      </c>
      <c r="I10" s="100">
        <f>'DSL WEEK 2'!J22</f>
        <v>0</v>
      </c>
      <c r="J10" s="101">
        <f t="shared" si="1"/>
        <v>3520</v>
      </c>
      <c r="K10" s="99"/>
      <c r="L10" s="99" t="s">
        <v>63</v>
      </c>
      <c r="M10" s="99" t="s">
        <v>40</v>
      </c>
    </row>
    <row r="11" spans="1:13" hidden="1">
      <c r="A11" s="12"/>
      <c r="B11" s="55" t="s">
        <v>89</v>
      </c>
      <c r="C11" s="10"/>
      <c r="D11" s="17"/>
      <c r="E11" s="18"/>
      <c r="F11" s="56"/>
      <c r="G11" s="18"/>
      <c r="H11" s="19"/>
      <c r="I11" s="56"/>
      <c r="J11" s="26">
        <f t="shared" ref="J11:J15" si="2">D11+E11+F11+G11+H11+I11</f>
        <v>0</v>
      </c>
      <c r="K11" s="10"/>
      <c r="L11" s="10"/>
      <c r="M11" s="10"/>
    </row>
    <row r="12" spans="1:13" hidden="1">
      <c r="A12" s="12"/>
      <c r="B12" s="20" t="s">
        <v>90</v>
      </c>
      <c r="C12" s="7" t="s">
        <v>55</v>
      </c>
      <c r="D12" s="17"/>
      <c r="E12" s="18"/>
      <c r="F12" s="18"/>
      <c r="G12" s="18"/>
      <c r="H12" s="19"/>
      <c r="I12" s="18"/>
      <c r="J12" s="26">
        <f t="shared" si="2"/>
        <v>0</v>
      </c>
      <c r="K12" s="10" t="s">
        <v>58</v>
      </c>
      <c r="L12" s="10"/>
      <c r="M12" s="10"/>
    </row>
    <row r="13" spans="1:13" ht="15.75" hidden="1">
      <c r="A13" s="15">
        <v>1</v>
      </c>
      <c r="B13" s="16" t="s">
        <v>91</v>
      </c>
      <c r="C13" s="10" t="s">
        <v>92</v>
      </c>
      <c r="D13" s="17">
        <f>'DSL WEEK 2'!E28</f>
        <v>0</v>
      </c>
      <c r="E13" s="17">
        <f>'DSL WEEK 2'!F28</f>
        <v>0</v>
      </c>
      <c r="F13" s="17">
        <f>'DSL WEEK 2'!G28</f>
        <v>0</v>
      </c>
      <c r="G13" s="17">
        <f>'DSL WEEK 2'!H28</f>
        <v>0</v>
      </c>
      <c r="H13" s="17">
        <f>'DSL WEEK 2'!I28</f>
        <v>0</v>
      </c>
      <c r="I13" s="17">
        <f>'DSL WEEK 2'!J28</f>
        <v>0</v>
      </c>
      <c r="J13" s="17">
        <f>'DSL WEEK 2'!K28</f>
        <v>0</v>
      </c>
      <c r="K13" s="17"/>
      <c r="L13" s="17" t="str">
        <f>'DSL WEEK 2'!M28</f>
        <v>SLOW MOVING PRODUCT</v>
      </c>
      <c r="M13" s="17">
        <f>'DSL WEEK 2'!N28</f>
        <v>0</v>
      </c>
    </row>
    <row r="14" spans="1:13" hidden="1">
      <c r="A14" s="12"/>
      <c r="B14" s="21" t="s">
        <v>97</v>
      </c>
      <c r="C14" s="10"/>
      <c r="D14" s="17"/>
      <c r="E14" s="18"/>
      <c r="F14" s="18"/>
      <c r="G14" s="18"/>
      <c r="H14" s="18"/>
      <c r="I14" s="19"/>
      <c r="J14" s="66">
        <f t="shared" si="2"/>
        <v>0</v>
      </c>
      <c r="K14" s="10"/>
      <c r="L14" s="10"/>
      <c r="M14" s="28"/>
    </row>
    <row r="15" spans="1:13">
      <c r="A15" s="12"/>
      <c r="B15" s="20" t="s">
        <v>98</v>
      </c>
      <c r="C15" s="7" t="s">
        <v>55</v>
      </c>
      <c r="D15" s="17"/>
      <c r="E15" s="18"/>
      <c r="F15" s="18"/>
      <c r="G15" s="18"/>
      <c r="H15" s="18"/>
      <c r="I15" s="19"/>
      <c r="J15" s="66">
        <f t="shared" si="2"/>
        <v>0</v>
      </c>
      <c r="K15" s="10" t="s">
        <v>58</v>
      </c>
      <c r="L15" s="10"/>
      <c r="M15" s="28"/>
    </row>
    <row r="16" spans="1:13" ht="15.75">
      <c r="A16" s="15">
        <v>1</v>
      </c>
      <c r="B16" s="59" t="s">
        <v>99</v>
      </c>
      <c r="C16" s="60" t="s">
        <v>62</v>
      </c>
      <c r="D16" s="68">
        <f>'DSL WEEK 2'!E35</f>
        <v>6708</v>
      </c>
      <c r="E16" s="68">
        <f>'DSL WEEK 2'!F35</f>
        <v>0</v>
      </c>
      <c r="F16" s="68">
        <f>'DSL WEEK 2'!G35</f>
        <v>98</v>
      </c>
      <c r="G16" s="68">
        <f>'DSL WEEK 2'!H35</f>
        <v>5</v>
      </c>
      <c r="H16" s="68">
        <f>'DSL WEEK 2'!I35</f>
        <v>58</v>
      </c>
      <c r="I16" s="68">
        <f>'DSL WEEK 2'!J35</f>
        <v>0</v>
      </c>
      <c r="J16" s="68">
        <f>'DSL WEEK 2'!K35</f>
        <v>6869</v>
      </c>
      <c r="K16" s="68">
        <f>'DSL WEEK 2'!L35</f>
        <v>1000</v>
      </c>
      <c r="L16" s="68" t="str">
        <f>'DSL WEEK 2'!M35</f>
        <v>SLOW MOVING PRODUCT</v>
      </c>
      <c r="M16" s="68" t="str">
        <f>'DSL WEEK 2'!N35</f>
        <v>MAR, 2027</v>
      </c>
    </row>
    <row r="17" spans="1:13" ht="15.75">
      <c r="A17" s="15">
        <f t="shared" ref="A17:A19" si="3">A16+1</f>
        <v>2</v>
      </c>
      <c r="B17" s="59" t="s">
        <v>100</v>
      </c>
      <c r="C17" s="60" t="s">
        <v>62</v>
      </c>
      <c r="D17" s="68">
        <f>'DSL WEEK 2'!E36</f>
        <v>0</v>
      </c>
      <c r="E17" s="68">
        <f>'DSL WEEK 2'!F36</f>
        <v>0</v>
      </c>
      <c r="F17" s="68">
        <f>'DSL WEEK 2'!G36</f>
        <v>0</v>
      </c>
      <c r="G17" s="68">
        <f>'DSL WEEK 2'!H36</f>
        <v>0</v>
      </c>
      <c r="H17" s="68">
        <f>'DSL WEEK 2'!I36</f>
        <v>0</v>
      </c>
      <c r="I17" s="68">
        <f>'DSL WEEK 2'!J36</f>
        <v>0</v>
      </c>
      <c r="J17" s="68">
        <f>'DSL WEEK 2'!K36</f>
        <v>0</v>
      </c>
      <c r="K17" s="68">
        <f>'DSL WEEK 2'!L36</f>
        <v>2000</v>
      </c>
      <c r="L17" s="68" t="str">
        <f>'DSL WEEK 2'!M36</f>
        <v>SLOW MOVING PRODUCT</v>
      </c>
      <c r="M17" s="68" t="str">
        <f>'DSL WEEK 2'!N36</f>
        <v>JUN,2026</v>
      </c>
    </row>
    <row r="18" spans="1:13" ht="15.75">
      <c r="A18" s="15">
        <f t="shared" si="3"/>
        <v>3</v>
      </c>
      <c r="B18" s="102" t="s">
        <v>105</v>
      </c>
      <c r="C18" s="60" t="s">
        <v>62</v>
      </c>
      <c r="D18" s="61">
        <f>'DSL WEEK 2'!E40</f>
        <v>1296</v>
      </c>
      <c r="E18" s="61">
        <f>'DSL WEEK 2'!F40</f>
        <v>0</v>
      </c>
      <c r="F18" s="61">
        <f>'DSL WEEK 2'!G40</f>
        <v>12</v>
      </c>
      <c r="G18" s="61">
        <f>'DSL WEEK 2'!H40</f>
        <v>0</v>
      </c>
      <c r="H18" s="61">
        <f>'DSL WEEK 2'!I40</f>
        <v>20</v>
      </c>
      <c r="I18" s="61">
        <f>'DSL WEEK 2'!J40</f>
        <v>0</v>
      </c>
      <c r="J18" s="61">
        <f>'DSL WEEK 2'!K40</f>
        <v>1328</v>
      </c>
      <c r="K18" s="61">
        <f>'DSL WEEK 2'!L40</f>
        <v>1000</v>
      </c>
      <c r="L18" s="61" t="str">
        <f>'DSL WEEK 2'!M40</f>
        <v>SLOW MOVING PRODUCT</v>
      </c>
      <c r="M18" s="61" t="str">
        <f>'DSL WEEK 2'!N40</f>
        <v>MAR, 2027</v>
      </c>
    </row>
    <row r="19" spans="1:13" ht="15.75" hidden="1">
      <c r="A19" s="15">
        <f t="shared" si="3"/>
        <v>4</v>
      </c>
      <c r="B19" s="16" t="s">
        <v>108</v>
      </c>
      <c r="C19" s="10" t="s">
        <v>62</v>
      </c>
      <c r="D19" s="17">
        <f>'DSL WEEK 2'!E43</f>
        <v>0</v>
      </c>
      <c r="E19" s="17">
        <f>'DSL WEEK 2'!F43</f>
        <v>0</v>
      </c>
      <c r="F19" s="17">
        <f>'DSL WEEK 2'!G43</f>
        <v>0</v>
      </c>
      <c r="G19" s="17">
        <f>'DSL WEEK 2'!H43</f>
        <v>0</v>
      </c>
      <c r="H19" s="17">
        <f>'DSL WEEK 2'!I43</f>
        <v>0</v>
      </c>
      <c r="I19" s="17">
        <f>'DSL WEEK 2'!J43</f>
        <v>0</v>
      </c>
      <c r="J19" s="17">
        <f>'DSL WEEK 2'!K43</f>
        <v>0</v>
      </c>
      <c r="K19" s="17">
        <f>'DSL WEEK 2'!L43</f>
        <v>1500</v>
      </c>
      <c r="L19" s="17" t="str">
        <f>'DSL WEEK 2'!M43</f>
        <v>SLOW MOVING PRODUCT</v>
      </c>
      <c r="M19" s="17">
        <f>'DSL WEEK 2'!N43</f>
        <v>0</v>
      </c>
    </row>
    <row r="20" spans="1:13">
      <c r="A20" s="12"/>
      <c r="B20" s="20" t="s">
        <v>172</v>
      </c>
      <c r="D20" s="17"/>
      <c r="E20" s="18"/>
      <c r="F20" s="18"/>
      <c r="G20" s="18"/>
      <c r="H20" s="18"/>
      <c r="I20" s="19"/>
      <c r="J20" s="66">
        <f t="shared" ref="J20:J22" si="4">D20+E20+F20+G20+H20+I20</f>
        <v>0</v>
      </c>
      <c r="K20" s="10"/>
      <c r="L20" s="10"/>
      <c r="M20" s="10"/>
    </row>
    <row r="21" spans="1:13" ht="15.75">
      <c r="A21" s="15">
        <v>1</v>
      </c>
      <c r="B21" s="59" t="s">
        <v>175</v>
      </c>
      <c r="C21" s="60" t="s">
        <v>62</v>
      </c>
      <c r="D21" s="61">
        <f>'DSL WEEK 2'!E102</f>
        <v>0</v>
      </c>
      <c r="E21" s="61">
        <f>'DSL WEEK 2'!F102</f>
        <v>0</v>
      </c>
      <c r="F21" s="61">
        <f>'DSL WEEK 2'!G102</f>
        <v>0</v>
      </c>
      <c r="G21" s="61">
        <f>'DSL WEEK 2'!H102</f>
        <v>20</v>
      </c>
      <c r="H21" s="61">
        <f>'DSL WEEK 2'!I102</f>
        <v>0</v>
      </c>
      <c r="I21" s="61">
        <f>'DSL WEEK 2'!J102</f>
        <v>0</v>
      </c>
      <c r="J21" s="61">
        <f>'DSL WEEK 2'!K102</f>
        <v>20</v>
      </c>
      <c r="K21" s="61">
        <f>'DSL WEEK 2'!L102</f>
        <v>0</v>
      </c>
      <c r="L21" s="61" t="str">
        <f>'DSL WEEK 2'!M102</f>
        <v>NON MOVING PRODUCT</v>
      </c>
      <c r="M21" s="61" t="str">
        <f>'DSL WEEK 2'!N102</f>
        <v>JUN,2026</v>
      </c>
    </row>
    <row r="22" spans="1:13" ht="15.75" hidden="1">
      <c r="A22" s="15">
        <f t="shared" ref="A22:A27" si="5">A21+1</f>
        <v>2</v>
      </c>
      <c r="B22" s="57" t="s">
        <v>179</v>
      </c>
      <c r="C22" s="10" t="s">
        <v>62</v>
      </c>
      <c r="D22" s="17">
        <f>'DSL WEEK 2'!E105</f>
        <v>0</v>
      </c>
      <c r="E22" s="17">
        <f>'DSL WEEK 2'!F105</f>
        <v>0</v>
      </c>
      <c r="F22" s="17">
        <f>'DSL WEEK 2'!G105</f>
        <v>0</v>
      </c>
      <c r="G22" s="17">
        <f>'DSL WEEK 2'!H105</f>
        <v>0</v>
      </c>
      <c r="H22" s="17">
        <f>'DSL WEEK 2'!I105</f>
        <v>0</v>
      </c>
      <c r="I22" s="17">
        <f>'DSL WEEK 2'!J105</f>
        <v>0</v>
      </c>
      <c r="J22" s="26">
        <f t="shared" si="4"/>
        <v>0</v>
      </c>
      <c r="K22" s="10"/>
      <c r="L22" s="10" t="s">
        <v>63</v>
      </c>
      <c r="M22" s="10"/>
    </row>
    <row r="23" spans="1:13" ht="15.75">
      <c r="A23" s="15">
        <f t="shared" si="5"/>
        <v>3</v>
      </c>
      <c r="B23" s="59" t="s">
        <v>182</v>
      </c>
      <c r="C23" s="60" t="s">
        <v>174</v>
      </c>
      <c r="D23" s="61">
        <f>'DSL WEEK 2'!E109</f>
        <v>162</v>
      </c>
      <c r="E23" s="61">
        <f>'DSL WEEK 2'!F109</f>
        <v>0</v>
      </c>
      <c r="F23" s="61">
        <f>'DSL WEEK 2'!G109</f>
        <v>0</v>
      </c>
      <c r="G23" s="61">
        <f>'DSL WEEK 2'!H109</f>
        <v>0</v>
      </c>
      <c r="H23" s="61">
        <f>'DSL WEEK 2'!I109</f>
        <v>7</v>
      </c>
      <c r="I23" s="61">
        <f>'DSL WEEK 2'!J109</f>
        <v>0</v>
      </c>
      <c r="J23" s="61">
        <f>'DSL WEEK 2'!K109</f>
        <v>169</v>
      </c>
      <c r="K23" s="61">
        <f>'DSL WEEK 2'!L109</f>
        <v>0</v>
      </c>
      <c r="L23" s="61" t="str">
        <f>'DSL WEEK 2'!M109</f>
        <v>SLOW MOVING PRODUCT</v>
      </c>
      <c r="M23" s="61">
        <f>'DSL WEEK 2'!N109</f>
        <v>0</v>
      </c>
    </row>
    <row r="24" spans="1:13" ht="15.75">
      <c r="A24" s="15">
        <f t="shared" si="5"/>
        <v>4</v>
      </c>
      <c r="B24" s="16" t="s">
        <v>185</v>
      </c>
      <c r="C24" s="10" t="s">
        <v>174</v>
      </c>
      <c r="D24" s="17">
        <f>'DSL WEEK 2'!E112</f>
        <v>0</v>
      </c>
      <c r="E24" s="17">
        <f>'DSL WEEK 2'!F112</f>
        <v>0</v>
      </c>
      <c r="F24" s="17">
        <f>'DSL WEEK 2'!G112</f>
        <v>17</v>
      </c>
      <c r="G24" s="17">
        <f>'DSL WEEK 2'!H112</f>
        <v>0</v>
      </c>
      <c r="H24" s="17">
        <f>'DSL WEEK 2'!I112</f>
        <v>2</v>
      </c>
      <c r="I24" s="17">
        <f>'DSL WEEK 2'!J112</f>
        <v>0</v>
      </c>
      <c r="J24" s="17">
        <f>'DSL WEEK 2'!K112</f>
        <v>19</v>
      </c>
      <c r="K24" s="17">
        <f>'DSL WEEK 2'!L112</f>
        <v>0</v>
      </c>
      <c r="L24" s="17" t="str">
        <f>'DSL WEEK 2'!M112</f>
        <v>SLOW MOVING PRODUCT</v>
      </c>
      <c r="M24" s="17" t="str">
        <f>'DSL WEEK 2'!N112</f>
        <v>DEC,2025</v>
      </c>
    </row>
    <row r="25" spans="1:13" ht="15.75" hidden="1">
      <c r="A25" s="58">
        <f t="shared" si="5"/>
        <v>5</v>
      </c>
      <c r="B25" s="59" t="s">
        <v>186</v>
      </c>
      <c r="C25" s="60" t="s">
        <v>62</v>
      </c>
      <c r="D25" s="61">
        <f>'DSL WEEK 2'!E113</f>
        <v>0</v>
      </c>
      <c r="E25" s="61">
        <f>'DSL WEEK 2'!F113</f>
        <v>0</v>
      </c>
      <c r="F25" s="61">
        <f>'DSL WEEK 2'!G113</f>
        <v>888</v>
      </c>
      <c r="G25" s="61">
        <f>'DSL WEEK 2'!H113</f>
        <v>0</v>
      </c>
      <c r="H25" s="61">
        <f>'DSL WEEK 2'!I113</f>
        <v>37</v>
      </c>
      <c r="I25" s="61">
        <f>'DSL WEEK 2'!J113</f>
        <v>0</v>
      </c>
      <c r="J25" s="61">
        <f>'DSL WEEK 2'!K113</f>
        <v>925</v>
      </c>
      <c r="K25" s="61">
        <f>'DSL WEEK 2'!L113</f>
        <v>1000</v>
      </c>
      <c r="L25" s="61" t="str">
        <f>'DSL WEEK 2'!M113</f>
        <v>SLOW MOVING PRODUCT</v>
      </c>
      <c r="M25" s="61" t="str">
        <f>'DSL WEEK 2'!N113</f>
        <v>OCT,2025</v>
      </c>
    </row>
    <row r="26" spans="1:13" ht="15.75" hidden="1">
      <c r="A26" s="58">
        <f t="shared" si="5"/>
        <v>6</v>
      </c>
      <c r="B26" s="62"/>
      <c r="C26" s="10"/>
      <c r="D26" s="61"/>
      <c r="E26" s="61"/>
      <c r="F26" s="61"/>
      <c r="G26" s="61"/>
      <c r="H26" s="61"/>
      <c r="I26" s="61"/>
      <c r="J26" s="68"/>
      <c r="K26" s="60"/>
      <c r="L26" s="10"/>
      <c r="M26" s="10"/>
    </row>
    <row r="27" spans="1:13" ht="15.75">
      <c r="A27" s="58">
        <f t="shared" si="5"/>
        <v>7</v>
      </c>
      <c r="B27" s="16" t="s">
        <v>189</v>
      </c>
      <c r="C27" s="10" t="s">
        <v>174</v>
      </c>
      <c r="D27" s="17">
        <f>'DSL WEEK 2'!E115</f>
        <v>5</v>
      </c>
      <c r="E27" s="17">
        <f>'DSL WEEK 2'!F115</f>
        <v>0</v>
      </c>
      <c r="F27" s="17">
        <f>'DSL WEEK 2'!G115</f>
        <v>16</v>
      </c>
      <c r="G27" s="17">
        <f>'DSL WEEK 2'!H115</f>
        <v>0</v>
      </c>
      <c r="H27" s="17">
        <f>'DSL WEEK 2'!I115</f>
        <v>12</v>
      </c>
      <c r="I27" s="17">
        <f>'DSL WEEK 2'!J115</f>
        <v>0</v>
      </c>
      <c r="J27" s="17">
        <f>'DSL WEEK 2'!K115</f>
        <v>33</v>
      </c>
      <c r="K27" s="17">
        <f>'DSL WEEK 2'!L115</f>
        <v>200</v>
      </c>
      <c r="L27" s="17" t="str">
        <f>'DSL WEEK 2'!M115</f>
        <v>SLOW MOVING PRODUCT</v>
      </c>
      <c r="M27" s="17" t="str">
        <f>'DSL WEEK 2'!N115</f>
        <v xml:space="preserve"> MAY, 2026</v>
      </c>
    </row>
    <row r="28" spans="1:13">
      <c r="A28" s="22"/>
      <c r="B28" s="23" t="s">
        <v>171</v>
      </c>
    </row>
    <row r="31" spans="1:13">
      <c r="B31" s="63" t="s">
        <v>1</v>
      </c>
      <c r="C31" s="64" t="s">
        <v>2</v>
      </c>
      <c r="D31" s="64" t="s">
        <v>3</v>
      </c>
      <c r="E31" s="64" t="s">
        <v>4</v>
      </c>
      <c r="F31" s="64" t="s">
        <v>5</v>
      </c>
      <c r="G31" s="64" t="s">
        <v>6</v>
      </c>
      <c r="H31" s="64" t="s">
        <v>7</v>
      </c>
      <c r="I31" s="64" t="s">
        <v>8</v>
      </c>
      <c r="J31" s="64" t="s">
        <v>9</v>
      </c>
      <c r="K31" s="7" t="s">
        <v>53</v>
      </c>
    </row>
    <row r="32" spans="1:13">
      <c r="B32" s="60" t="str">
        <f>'DSLP FG WK 2'!C5</f>
        <v>COXSTOP  100GRM</v>
      </c>
      <c r="C32" s="60">
        <v>96</v>
      </c>
      <c r="D32" s="60">
        <f>'DSLP FG WK 2'!F5</f>
        <v>2256</v>
      </c>
      <c r="E32" s="60">
        <f>'DSLP FG WK 2'!G5</f>
        <v>0</v>
      </c>
      <c r="F32" s="60">
        <f>'DSLP FG WK 2'!H5</f>
        <v>0</v>
      </c>
      <c r="G32" s="60">
        <f>'DSLP FG WK 2'!I5</f>
        <v>48</v>
      </c>
      <c r="H32" s="60">
        <f>'DSLP FG WK 2'!J5</f>
        <v>576</v>
      </c>
      <c r="I32" s="60">
        <f>'DSLP FG WK 2'!K5</f>
        <v>0</v>
      </c>
      <c r="J32" s="60">
        <f>'DSLP FG WK 2'!L5</f>
        <v>2880</v>
      </c>
      <c r="K32" s="60" t="str">
        <f>'DSLP FG WK 2'!O5</f>
        <v>MAR, 2027</v>
      </c>
    </row>
    <row r="33" spans="2:11" hidden="1">
      <c r="B33" s="11" t="s">
        <v>17</v>
      </c>
      <c r="C33" s="11">
        <v>96</v>
      </c>
      <c r="D33" s="10">
        <f>'DSLP FG WK 2'!F7</f>
        <v>5</v>
      </c>
      <c r="E33" s="10">
        <f>'DSLP FG WK 2'!G7</f>
        <v>0</v>
      </c>
      <c r="F33" s="10">
        <f>'DSLP FG WK 2'!H7</f>
        <v>0</v>
      </c>
      <c r="G33" s="10">
        <f>'DSLP FG WK 2'!I7</f>
        <v>47</v>
      </c>
      <c r="H33" s="10">
        <f>'DSLP FG WK 2'!J7</f>
        <v>75</v>
      </c>
      <c r="I33" s="10">
        <f>'DSLP FG WK 2'!K7</f>
        <v>0</v>
      </c>
      <c r="J33" s="10">
        <f t="shared" ref="J33:J39" si="6">D33+E33+F33+G33+H33+I33</f>
        <v>127</v>
      </c>
      <c r="K33" s="10" t="s">
        <v>18</v>
      </c>
    </row>
    <row r="34" spans="2:11" hidden="1">
      <c r="B34" s="60" t="s">
        <v>20</v>
      </c>
      <c r="C34" s="60">
        <v>12</v>
      </c>
      <c r="D34" s="60">
        <f>'DSLP FG WK 2'!F9</f>
        <v>9</v>
      </c>
      <c r="E34" s="60">
        <f>'DSLP FG WK 2'!G9</f>
        <v>26</v>
      </c>
      <c r="F34" s="60">
        <f>'DSLP FG WK 2'!H9</f>
        <v>0</v>
      </c>
      <c r="G34" s="60">
        <f>'DSLP FG WK 2'!I9</f>
        <v>3</v>
      </c>
      <c r="H34" s="60">
        <f>'DSLP FG WK 2'!J9</f>
        <v>89</v>
      </c>
      <c r="I34" s="60">
        <f>'DSLP FG WK 2'!K9</f>
        <v>0</v>
      </c>
      <c r="J34" s="60">
        <f>'DSLP FG WK 2'!L9</f>
        <v>127</v>
      </c>
      <c r="K34" s="60" t="str">
        <f>'DSLP FG WK 2'!O9</f>
        <v>AUG, 2027</v>
      </c>
    </row>
    <row r="35" spans="2:11">
      <c r="B35" s="60" t="str">
        <f>'DSLP FG WK 2'!C15</f>
        <v>DIVERFLOX    100GRM</v>
      </c>
      <c r="C35" s="60">
        <v>96</v>
      </c>
      <c r="D35" s="60">
        <f>'DSLP FG WK 2'!F15</f>
        <v>0</v>
      </c>
      <c r="E35" s="60">
        <f>'DSLP FG WK 2'!G15</f>
        <v>0</v>
      </c>
      <c r="F35" s="60">
        <f>'DSLP FG WK 2'!H15</f>
        <v>0</v>
      </c>
      <c r="G35" s="60">
        <f>'DSLP FG WK 2'!I15</f>
        <v>28</v>
      </c>
      <c r="H35" s="60">
        <f>'DSLP FG WK 2'!J15</f>
        <v>736</v>
      </c>
      <c r="I35" s="60">
        <f>'DSLP FG WK 2'!K15</f>
        <v>0</v>
      </c>
      <c r="J35" s="60">
        <f>'DSLP FG WK 2'!L15</f>
        <v>764</v>
      </c>
      <c r="K35" s="60" t="str">
        <f>'DSLP FG WK 2'!O15</f>
        <v>NOV, 2027</v>
      </c>
    </row>
    <row r="36" spans="2:11" hidden="1">
      <c r="B36" s="65" t="s">
        <v>32</v>
      </c>
      <c r="C36" s="65">
        <v>96</v>
      </c>
      <c r="D36" s="10">
        <f>'DSLP FG WK 2'!F18</f>
        <v>357</v>
      </c>
      <c r="E36" s="10">
        <f>'DSLP FG WK 2'!G18</f>
        <v>192</v>
      </c>
      <c r="F36" s="10">
        <f>'DSLP FG WK 2'!H18</f>
        <v>0</v>
      </c>
      <c r="G36" s="10">
        <f>'DSLP FG WK 2'!I18</f>
        <v>158</v>
      </c>
      <c r="H36" s="10">
        <f>'DSLP FG WK 2'!J18</f>
        <v>1058</v>
      </c>
      <c r="I36" s="10">
        <f>'DSLP FG WK 2'!K18</f>
        <v>0</v>
      </c>
      <c r="J36" s="10">
        <f t="shared" si="6"/>
        <v>1765</v>
      </c>
      <c r="K36" s="10" t="s">
        <v>23</v>
      </c>
    </row>
    <row r="37" spans="2:11" hidden="1">
      <c r="B37" s="65" t="s">
        <v>34</v>
      </c>
      <c r="C37" s="65">
        <v>96</v>
      </c>
      <c r="D37" s="10">
        <f>'DSLP FG WK 2'!F20</f>
        <v>0</v>
      </c>
      <c r="E37" s="10">
        <f>'DSLP FG WK 2'!G20</f>
        <v>0</v>
      </c>
      <c r="F37" s="10">
        <f>'DSLP FG WK 2'!H20</f>
        <v>0</v>
      </c>
      <c r="G37" s="10">
        <f>'DSLP FG WK 2'!I20</f>
        <v>0</v>
      </c>
      <c r="H37" s="10">
        <f>'DSLP FG WK 2'!J20</f>
        <v>0</v>
      </c>
      <c r="I37" s="10">
        <f>'DSLP FG WK 2'!K20</f>
        <v>0</v>
      </c>
      <c r="J37" s="10">
        <f t="shared" si="6"/>
        <v>0</v>
      </c>
      <c r="K37" s="10"/>
    </row>
    <row r="38" spans="2:11" hidden="1">
      <c r="B38" s="65" t="s">
        <v>36</v>
      </c>
      <c r="C38" s="10">
        <v>12</v>
      </c>
      <c r="D38" s="10">
        <f>'DSLP FG WK 2'!F22</f>
        <v>1</v>
      </c>
      <c r="E38" s="10">
        <f>'DSLP FG WK 2'!G22</f>
        <v>19</v>
      </c>
      <c r="F38" s="10">
        <f>'DSLP FG WK 2'!H22</f>
        <v>0</v>
      </c>
      <c r="G38" s="10">
        <f>'DSLP FG WK 2'!I22</f>
        <v>22</v>
      </c>
      <c r="H38" s="10">
        <f>'DSLP FG WK 2'!J22</f>
        <v>0</v>
      </c>
      <c r="I38" s="10">
        <f>'DSLP FG WK 2'!K22</f>
        <v>0</v>
      </c>
      <c r="J38" s="10">
        <f>'DSLP FG WK 2'!L22</f>
        <v>42</v>
      </c>
      <c r="K38" s="10" t="str">
        <f>'DSLP FG WK 2'!O22</f>
        <v>MAY, 2027</v>
      </c>
    </row>
    <row r="39" spans="2:11">
      <c r="B39" s="10" t="s">
        <v>45</v>
      </c>
      <c r="C39" s="65">
        <v>1</v>
      </c>
      <c r="D39" s="10">
        <f>'DSLP FG WK 2'!F29</f>
        <v>32</v>
      </c>
      <c r="E39" s="10">
        <f>'DSLP FG WK 2'!G29</f>
        <v>0</v>
      </c>
      <c r="F39" s="10">
        <f>'DSLP FG WK 2'!H29</f>
        <v>0</v>
      </c>
      <c r="G39" s="10">
        <f>'DSLP FG WK 2'!I29</f>
        <v>0</v>
      </c>
      <c r="H39" s="10">
        <f>'DSLP FG WK 2'!J29</f>
        <v>0</v>
      </c>
      <c r="I39" s="10">
        <f>'DSLP FG WK 2'!K29</f>
        <v>0</v>
      </c>
      <c r="J39" s="10">
        <f t="shared" si="6"/>
        <v>32</v>
      </c>
      <c r="K39" s="10"/>
    </row>
    <row r="40" spans="2:11">
      <c r="B40" s="103" t="str">
        <f>'DSLP FG WK 2'!C12</f>
        <v>DIVERCOOL C 25Litres</v>
      </c>
      <c r="C40" s="60">
        <f>'DSLP FG WK 2'!D12</f>
        <v>1</v>
      </c>
      <c r="D40" s="60">
        <f>'DSLP FG WK 2'!F12</f>
        <v>15</v>
      </c>
      <c r="E40" s="60">
        <f>'DSLP FG WK 2'!G12</f>
        <v>0</v>
      </c>
      <c r="F40" s="60">
        <f>'DSLP FG WK 2'!H12</f>
        <v>0</v>
      </c>
      <c r="G40" s="60">
        <f>'DSLP FG WK 2'!I12</f>
        <v>10</v>
      </c>
      <c r="H40" s="60">
        <f>'DSLP FG WK 2'!J12</f>
        <v>2</v>
      </c>
      <c r="I40" s="60">
        <f>'DSLP FG WK 2'!K12</f>
        <v>0</v>
      </c>
      <c r="J40" s="60">
        <f>'DSLP FG WK 2'!L12</f>
        <v>27</v>
      </c>
      <c r="K40" s="60">
        <f>'DSLP FG WK 2'!O11</f>
        <v>0</v>
      </c>
    </row>
    <row r="41" spans="2:11">
      <c r="D41" s="1"/>
      <c r="E41" s="1"/>
      <c r="F41" s="1"/>
      <c r="G41" s="1"/>
      <c r="H41" s="1"/>
      <c r="I41" s="1"/>
      <c r="J41" s="1"/>
    </row>
  </sheetData>
  <mergeCells count="1">
    <mergeCell ref="A1:M1"/>
  </mergeCells>
  <conditionalFormatting sqref="J7:J12 J14:J15 J20 J22 J26">
    <cfRule type="top10" dxfId="5" priority="4" percent="1" rank="10"/>
  </conditionalFormatting>
  <conditionalFormatting sqref="J7:K7 M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{D3B46129-01FF-410E-88F0-DC6C8204387F}</x14:id>
        </ext>
      </extLst>
    </cfRule>
  </conditionalFormatting>
  <conditionalFormatting sqref="J7:K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{150C08FB-8DA9-4EE9-A9E5-65CA88CB9206}</x14:id>
        </ext>
      </extLst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:K8 M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{4D61DA6D-72DC-4CEB-A15A-CD7BC341DE60}</x14:id>
        </ext>
      </extLst>
    </cfRule>
  </conditionalFormatting>
  <conditionalFormatting sqref="J8:K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{057684FD-D4A2-48E3-B39E-D4FDE340DD6B}</x14:id>
        </ext>
      </extLst>
    </cfRule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:K9 M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{EB7770CB-FED0-4D7F-B2ED-BB5CC3B0628A}</x14:id>
        </ext>
      </extLst>
    </cfRule>
  </conditionalFormatting>
  <conditionalFormatting sqref="J9:K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{0FA1827B-4A18-420E-B8A3-7929F7C481B2}</x14:id>
        </ext>
      </extLst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:K10 M1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{2D48A2BC-5302-476C-A188-537C32980B13}</x14:id>
        </ext>
      </extLst>
    </cfRule>
  </conditionalFormatting>
  <conditionalFormatting sqref="J10:K1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{D3740274-679F-477E-A1FE-C4C415EA8771}</x14:id>
        </ext>
      </extLst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0:K20 J11:K12 J14:K15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{4A5314B1-25D0-4FD6-BF94-A055B36A367E}</x14:id>
        </ext>
      </extLst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0:K20 J11:M12 J14:M15 M20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{1B5C2AA0-000F-40AC-B1C3-4116D82694AD}</x14:id>
        </ext>
      </extLst>
    </cfRule>
  </conditionalFormatting>
  <conditionalFormatting sqref="J22:K22 M2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{6FC1160C-DA51-4AC2-82B6-77DDA13E3AAD}</x14:id>
        </ext>
      </extLst>
    </cfRule>
  </conditionalFormatting>
  <conditionalFormatting sqref="J22:K2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{E3BD2786-15F3-4908-A48A-19787461F6E5}</x14:id>
        </ext>
      </extLst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6:K26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{76227336-E526-46AC-A0D3-76CEA1C17880}</x14:id>
        </ext>
      </extLst>
    </cfRule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{50E18FA4-521B-4C6A-8C45-B046DCD41DE3}</x14:id>
        </ext>
      </extLst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:L10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{9986D68D-F2F9-4064-8DB0-E926533BC355}</x14:id>
        </ext>
      </extLst>
    </cfRule>
  </conditionalFormatting>
  <conditionalFormatting sqref="L20 L22 L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{EC57D0E4-5E24-410C-89FA-4029AD280C92}</x14:id>
        </ext>
      </extLst>
    </cfRule>
  </conditionalFormatting>
  <conditionalFormatting sqref="M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{CB0E22C9-825C-4BA5-99C6-1C4EA155E72B}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B46129-01FF-410E-88F0-DC6C82043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J7:K7 M7</xm:sqref>
        </x14:conditionalFormatting>
        <x14:conditionalFormatting xmlns:xm="http://schemas.microsoft.com/office/excel/2006/main">
          <x14:cfRule type="dataBar" id="{150C08FB-8DA9-4EE9-A9E5-65CA88CB92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J7:K7</xm:sqref>
        </x14:conditionalFormatting>
        <x14:conditionalFormatting xmlns:xm="http://schemas.microsoft.com/office/excel/2006/main">
          <x14:cfRule type="dataBar" id="{4D61DA6D-72DC-4CEB-A15A-CD7BC341D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J8:K8 M8</xm:sqref>
        </x14:conditionalFormatting>
        <x14:conditionalFormatting xmlns:xm="http://schemas.microsoft.com/office/excel/2006/main">
          <x14:cfRule type="dataBar" id="{057684FD-D4A2-48E3-B39E-D4FDE340D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J8:K8</xm:sqref>
        </x14:conditionalFormatting>
        <x14:conditionalFormatting xmlns:xm="http://schemas.microsoft.com/office/excel/2006/main">
          <x14:cfRule type="dataBar" id="{EB7770CB-FED0-4D7F-B2ED-BB5CC3B0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J9:K9 M9</xm:sqref>
        </x14:conditionalFormatting>
        <x14:conditionalFormatting xmlns:xm="http://schemas.microsoft.com/office/excel/2006/main">
          <x14:cfRule type="dataBar" id="{0FA1827B-4A18-420E-B8A3-7929F7C481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J9:K9</xm:sqref>
        </x14:conditionalFormatting>
        <x14:conditionalFormatting xmlns:xm="http://schemas.microsoft.com/office/excel/2006/main">
          <x14:cfRule type="dataBar" id="{2D48A2BC-5302-476C-A188-537C32980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J10:K10 M10</xm:sqref>
        </x14:conditionalFormatting>
        <x14:conditionalFormatting xmlns:xm="http://schemas.microsoft.com/office/excel/2006/main">
          <x14:cfRule type="dataBar" id="{D3740274-679F-477E-A1FE-C4C415EA8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J10:K10</xm:sqref>
        </x14:conditionalFormatting>
        <x14:conditionalFormatting xmlns:xm="http://schemas.microsoft.com/office/excel/2006/main">
          <x14:cfRule type="dataBar" id="{4A5314B1-25D0-4FD6-BF94-A055B36A36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J20:K20 J11:K12 J14:K15</xm:sqref>
        </x14:conditionalFormatting>
        <x14:conditionalFormatting xmlns:xm="http://schemas.microsoft.com/office/excel/2006/main">
          <x14:cfRule type="dataBar" id="{1B5C2AA0-000F-40AC-B1C3-4116D8269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J20:K20 J11:M12 J14:M15 M20</xm:sqref>
        </x14:conditionalFormatting>
        <x14:conditionalFormatting xmlns:xm="http://schemas.microsoft.com/office/excel/2006/main">
          <x14:cfRule type="dataBar" id="{6FC1160C-DA51-4AC2-82B6-77DDA13E3A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J22:K22 M22</xm:sqref>
        </x14:conditionalFormatting>
        <x14:conditionalFormatting xmlns:xm="http://schemas.microsoft.com/office/excel/2006/main">
          <x14:cfRule type="dataBar" id="{E3BD2786-15F3-4908-A48A-19787461F6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J22:K22</xm:sqref>
        </x14:conditionalFormatting>
        <x14:conditionalFormatting xmlns:xm="http://schemas.microsoft.com/office/excel/2006/main">
          <x14:cfRule type="dataBar" id="{76227336-E526-46AC-A0D3-76CEA1C17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E18FA4-521B-4C6A-8C45-B046DCD41D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J26:K26</xm:sqref>
        </x14:conditionalFormatting>
        <x14:conditionalFormatting xmlns:xm="http://schemas.microsoft.com/office/excel/2006/main">
          <x14:cfRule type="dataBar" id="{9986D68D-F2F9-4064-8DB0-E926533BC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L7:L10</xm:sqref>
        </x14:conditionalFormatting>
        <x14:conditionalFormatting xmlns:xm="http://schemas.microsoft.com/office/excel/2006/main">
          <x14:cfRule type="dataBar" id="{EC57D0E4-5E24-410C-89FA-4029AD280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 L22 L26</xm:sqref>
        </x14:conditionalFormatting>
        <x14:conditionalFormatting xmlns:xm="http://schemas.microsoft.com/office/excel/2006/main">
          <x14:cfRule type="dataBar" id="{CB0E22C9-825C-4BA5-99C6-1C4EA155E7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"/>
  <sheetViews>
    <sheetView topLeftCell="B1" zoomScale="93" zoomScaleNormal="93" workbookViewId="0">
      <pane xSplit="2" ySplit="6" topLeftCell="D7" activePane="bottomRight" state="frozen"/>
      <selection pane="topRight"/>
      <selection pane="bottomLeft"/>
      <selection pane="bottomRight" activeCell="D9" sqref="D9"/>
    </sheetView>
  </sheetViews>
  <sheetFormatPr defaultColWidth="9" defaultRowHeight="15"/>
  <cols>
    <col min="1" max="1" width="4.28515625" customWidth="1"/>
    <col min="2" max="2" width="20.42578125" style="1" hidden="1" customWidth="1"/>
    <col min="3" max="3" width="28.28515625" style="1" customWidth="1"/>
    <col min="4" max="4" width="15" customWidth="1"/>
    <col min="5" max="5" width="12.5703125" style="1" customWidth="1"/>
    <col min="6" max="6" width="13.5703125" style="1" customWidth="1"/>
    <col min="7" max="7" width="19.85546875" style="1" customWidth="1"/>
    <col min="8" max="8" width="12.42578125" customWidth="1"/>
    <col min="9" max="9" width="13.42578125" customWidth="1"/>
    <col min="11" max="12" width="9.140625" style="1"/>
    <col min="13" max="16" width="9.140625" style="1" hidden="1" customWidth="1"/>
    <col min="17" max="17" width="14.42578125" style="1" customWidth="1"/>
    <col min="18" max="18" width="11.28515625" customWidth="1"/>
    <col min="19" max="19" width="14.85546875" customWidth="1"/>
    <col min="20" max="20" width="13.28515625" customWidth="1"/>
    <col min="21" max="21" width="14.140625" customWidth="1"/>
  </cols>
  <sheetData>
    <row r="1" spans="1:23" ht="15.75">
      <c r="B1" s="1" t="s">
        <v>191</v>
      </c>
      <c r="T1" s="8">
        <f ca="1">U1</f>
        <v>46044.747614236112</v>
      </c>
      <c r="U1" s="9">
        <f ca="1">NOW()</f>
        <v>46044.747614236112</v>
      </c>
      <c r="V1" s="10"/>
      <c r="W1" s="11" t="str">
        <f ca="1">"Week"&amp;" "&amp;WEEKNUM(T1)</f>
        <v>Week 4</v>
      </c>
    </row>
    <row r="2" spans="1:23" ht="18.75">
      <c r="D2" s="30" t="s">
        <v>242</v>
      </c>
      <c r="E2" s="30"/>
      <c r="F2" s="30"/>
      <c r="G2" s="31"/>
      <c r="T2" s="48"/>
      <c r="U2" s="49"/>
      <c r="V2" s="1"/>
      <c r="W2" s="50"/>
    </row>
    <row r="3" spans="1:23" ht="18.75">
      <c r="A3" s="18"/>
      <c r="B3" s="32" t="s">
        <v>192</v>
      </c>
      <c r="C3" s="33" t="s">
        <v>193</v>
      </c>
      <c r="D3" s="33" t="s">
        <v>194</v>
      </c>
      <c r="E3" s="33" t="s">
        <v>195</v>
      </c>
      <c r="F3" s="33" t="s">
        <v>196</v>
      </c>
      <c r="G3" s="34" t="s">
        <v>197</v>
      </c>
      <c r="H3" s="35" t="s">
        <v>198</v>
      </c>
      <c r="I3" s="33" t="s">
        <v>199</v>
      </c>
      <c r="J3" s="18"/>
      <c r="K3" s="33" t="s">
        <v>200</v>
      </c>
      <c r="L3" s="45" t="s">
        <v>201</v>
      </c>
      <c r="M3" s="46" t="s">
        <v>202</v>
      </c>
      <c r="N3" s="46" t="s">
        <v>203</v>
      </c>
      <c r="O3" s="46" t="s">
        <v>204</v>
      </c>
      <c r="P3" s="46" t="s">
        <v>205</v>
      </c>
      <c r="Q3" s="51" t="s">
        <v>206</v>
      </c>
      <c r="R3" s="52" t="s">
        <v>207</v>
      </c>
      <c r="S3" s="53" t="s">
        <v>208</v>
      </c>
    </row>
    <row r="4" spans="1:23" s="29" customFormat="1" ht="15.75">
      <c r="A4" s="36">
        <v>1</v>
      </c>
      <c r="B4" s="37" t="s">
        <v>209</v>
      </c>
      <c r="C4" s="37" t="s">
        <v>86</v>
      </c>
      <c r="D4" s="38">
        <f>'SLOW MOVING'!J10</f>
        <v>3520</v>
      </c>
      <c r="E4" s="37" t="s">
        <v>210</v>
      </c>
      <c r="F4" s="37" t="s">
        <v>211</v>
      </c>
      <c r="G4" s="39">
        <v>44347</v>
      </c>
      <c r="H4" s="39">
        <v>46173</v>
      </c>
      <c r="I4" s="9">
        <f ca="1">NOW()</f>
        <v>46044.747614236112</v>
      </c>
      <c r="J4" s="36"/>
      <c r="K4" s="37">
        <v>1629</v>
      </c>
      <c r="L4" s="37">
        <v>1826</v>
      </c>
      <c r="M4" s="37">
        <v>456.5</v>
      </c>
      <c r="N4" s="37">
        <v>456.5</v>
      </c>
      <c r="O4" s="37">
        <v>456.5</v>
      </c>
      <c r="P4" s="37">
        <v>456.5</v>
      </c>
      <c r="Q4" s="37" t="s">
        <v>212</v>
      </c>
      <c r="R4" s="36">
        <v>0.89211391018619934</v>
      </c>
      <c r="S4" s="36" t="s">
        <v>213</v>
      </c>
    </row>
    <row r="5" spans="1:23" s="29" customFormat="1" hidden="1">
      <c r="A5" s="36">
        <f>A4+1</f>
        <v>2</v>
      </c>
      <c r="B5" s="37" t="s">
        <v>214</v>
      </c>
      <c r="C5" s="37" t="s">
        <v>186</v>
      </c>
      <c r="D5" s="38">
        <f>'SLOW MOVING'!J25</f>
        <v>925</v>
      </c>
      <c r="E5" s="37" t="s">
        <v>210</v>
      </c>
      <c r="F5" s="37" t="s">
        <v>215</v>
      </c>
      <c r="G5" s="40">
        <v>44895</v>
      </c>
      <c r="H5" s="40">
        <v>45961</v>
      </c>
      <c r="I5" s="36"/>
      <c r="J5" s="36"/>
      <c r="K5" s="37">
        <v>1045</v>
      </c>
      <c r="L5" s="37">
        <v>1066</v>
      </c>
      <c r="M5" s="37">
        <v>266.5</v>
      </c>
      <c r="N5" s="37">
        <v>266.5</v>
      </c>
      <c r="O5" s="37">
        <v>266.5</v>
      </c>
      <c r="P5" s="37">
        <v>266.5</v>
      </c>
      <c r="Q5" s="37" t="s">
        <v>212</v>
      </c>
      <c r="R5" s="36">
        <v>0.98030018761726079</v>
      </c>
      <c r="S5" s="36" t="s">
        <v>213</v>
      </c>
    </row>
    <row r="6" spans="1:23" s="29" customFormat="1">
      <c r="A6" s="36">
        <f>A5+1</f>
        <v>3</v>
      </c>
      <c r="B6" s="37" t="s">
        <v>214</v>
      </c>
      <c r="C6" s="37" t="s">
        <v>216</v>
      </c>
      <c r="D6" s="38">
        <f>'SLOW MOVING'!J24</f>
        <v>19</v>
      </c>
      <c r="E6" s="37" t="s">
        <v>224</v>
      </c>
      <c r="F6" s="37"/>
      <c r="G6" s="40">
        <v>45322</v>
      </c>
      <c r="H6" s="40">
        <v>46022</v>
      </c>
      <c r="I6" s="36"/>
      <c r="J6" s="36"/>
      <c r="K6" s="37">
        <v>502</v>
      </c>
      <c r="L6" s="37">
        <v>700</v>
      </c>
      <c r="M6" s="37">
        <v>175</v>
      </c>
      <c r="N6" s="37">
        <v>175</v>
      </c>
      <c r="O6" s="37">
        <v>175</v>
      </c>
      <c r="P6" s="37">
        <v>175</v>
      </c>
      <c r="Q6" s="37" t="s">
        <v>217</v>
      </c>
      <c r="R6" s="36">
        <v>0.55857142857142905</v>
      </c>
      <c r="S6" s="36" t="s">
        <v>213</v>
      </c>
    </row>
    <row r="7" spans="1:23" s="29" customFormat="1">
      <c r="A7" s="36">
        <f>A6+1</f>
        <v>4</v>
      </c>
      <c r="B7" s="37" t="s">
        <v>214</v>
      </c>
      <c r="C7" s="16" t="s">
        <v>182</v>
      </c>
      <c r="D7" s="38">
        <f>'SLOW MOVING'!J23</f>
        <v>169</v>
      </c>
      <c r="E7" s="37" t="s">
        <v>225</v>
      </c>
      <c r="F7" s="37"/>
      <c r="G7" s="40">
        <v>45322</v>
      </c>
      <c r="H7" s="40">
        <v>46022</v>
      </c>
      <c r="I7" s="36"/>
      <c r="J7" s="36"/>
      <c r="K7" s="37">
        <v>502</v>
      </c>
      <c r="L7" s="37">
        <v>700</v>
      </c>
      <c r="M7" s="37">
        <v>175</v>
      </c>
      <c r="N7" s="37">
        <v>175</v>
      </c>
      <c r="O7" s="37">
        <v>175</v>
      </c>
      <c r="P7" s="37">
        <v>175</v>
      </c>
      <c r="Q7" s="37" t="s">
        <v>217</v>
      </c>
      <c r="R7" s="36">
        <v>0.55857142857142905</v>
      </c>
      <c r="S7" s="36" t="s">
        <v>213</v>
      </c>
    </row>
    <row r="8" spans="1:23" s="29" customFormat="1">
      <c r="A8" s="36"/>
      <c r="B8" s="10" t="s">
        <v>218</v>
      </c>
      <c r="C8" s="16" t="s">
        <v>175</v>
      </c>
      <c r="D8" s="38">
        <f>'SLOW MOVING'!J21</f>
        <v>20</v>
      </c>
      <c r="E8" s="37" t="s">
        <v>210</v>
      </c>
      <c r="F8" s="37">
        <v>2180480</v>
      </c>
      <c r="G8" s="40">
        <v>45504</v>
      </c>
      <c r="H8" s="40">
        <v>46203</v>
      </c>
      <c r="I8" s="36"/>
      <c r="J8" s="36"/>
      <c r="K8" s="37">
        <v>320</v>
      </c>
      <c r="L8" s="37">
        <v>699</v>
      </c>
      <c r="M8" s="37">
        <v>174.75</v>
      </c>
      <c r="N8" s="37">
        <v>174.75</v>
      </c>
      <c r="O8" s="37">
        <v>174.75</v>
      </c>
      <c r="P8" s="37">
        <v>174.75</v>
      </c>
      <c r="Q8" s="104" t="s">
        <v>219</v>
      </c>
      <c r="R8" s="36">
        <v>0.29899856938483499</v>
      </c>
      <c r="S8" s="36" t="s">
        <v>213</v>
      </c>
    </row>
    <row r="9" spans="1:23" s="29" customFormat="1">
      <c r="A9" s="36">
        <f>A7+1</f>
        <v>5</v>
      </c>
      <c r="B9" s="10" t="s">
        <v>218</v>
      </c>
      <c r="C9" s="41" t="s">
        <v>105</v>
      </c>
      <c r="D9" s="38">
        <f>'SLOW MOVING'!J18</f>
        <v>1328</v>
      </c>
      <c r="E9" s="37" t="s">
        <v>210</v>
      </c>
      <c r="F9" s="10">
        <v>7322008</v>
      </c>
      <c r="G9" s="42">
        <v>45777</v>
      </c>
      <c r="H9" s="42">
        <v>46477</v>
      </c>
      <c r="I9" s="36"/>
      <c r="J9" s="36"/>
      <c r="K9" s="37">
        <v>199</v>
      </c>
      <c r="L9" s="37">
        <v>700</v>
      </c>
      <c r="M9" s="37">
        <v>175.75</v>
      </c>
      <c r="N9" s="37">
        <v>175.75</v>
      </c>
      <c r="O9" s="37">
        <v>175.75</v>
      </c>
      <c r="P9" s="37">
        <v>175.75</v>
      </c>
      <c r="Q9" s="104" t="s">
        <v>219</v>
      </c>
      <c r="R9" s="36">
        <v>0.51635846372688499</v>
      </c>
      <c r="S9" s="36" t="s">
        <v>213</v>
      </c>
    </row>
    <row r="10" spans="1:23">
      <c r="A10" s="36">
        <f t="shared" ref="A10" si="0">A9+1</f>
        <v>6</v>
      </c>
      <c r="B10" s="10" t="s">
        <v>218</v>
      </c>
      <c r="C10" s="16" t="s">
        <v>100</v>
      </c>
      <c r="D10" s="18">
        <f>'SLOW MOVING'!J17</f>
        <v>0</v>
      </c>
      <c r="E10" s="37" t="s">
        <v>238</v>
      </c>
      <c r="F10" s="10">
        <v>2290008</v>
      </c>
      <c r="G10" s="42">
        <v>45504</v>
      </c>
      <c r="H10" s="43">
        <v>46203</v>
      </c>
      <c r="I10" s="18"/>
      <c r="J10" s="18"/>
      <c r="K10" s="10">
        <v>533</v>
      </c>
      <c r="L10" s="10">
        <v>760</v>
      </c>
      <c r="M10" s="10">
        <v>190</v>
      </c>
      <c r="N10" s="10">
        <v>190</v>
      </c>
      <c r="O10" s="10">
        <v>190</v>
      </c>
      <c r="P10" s="10">
        <v>190</v>
      </c>
      <c r="Q10" s="37" t="s">
        <v>217</v>
      </c>
      <c r="R10" s="18">
        <v>0.70131578947368423</v>
      </c>
      <c r="S10" s="18" t="s">
        <v>213</v>
      </c>
    </row>
    <row r="11" spans="1:23">
      <c r="B11" s="10" t="s">
        <v>218</v>
      </c>
      <c r="C11" s="16" t="s">
        <v>99</v>
      </c>
      <c r="D11" s="44">
        <f>'DSL WEEK 2'!K35</f>
        <v>6869</v>
      </c>
      <c r="E11" s="37" t="s">
        <v>210</v>
      </c>
      <c r="F11" s="10"/>
      <c r="G11" s="42">
        <v>45350</v>
      </c>
      <c r="H11" s="42">
        <v>46053</v>
      </c>
      <c r="I11" s="47"/>
      <c r="J11" s="18"/>
      <c r="K11" s="47">
        <v>551</v>
      </c>
      <c r="L11" s="47">
        <v>703</v>
      </c>
      <c r="M11" s="47">
        <v>175.75</v>
      </c>
      <c r="N11" s="47">
        <v>175.75</v>
      </c>
      <c r="O11" s="47">
        <v>175.75</v>
      </c>
      <c r="P11" s="47">
        <v>175.75</v>
      </c>
      <c r="Q11" s="37" t="s">
        <v>212</v>
      </c>
      <c r="R11" s="54">
        <f t="shared" ref="R11" si="1">IFERROR((K11/L11),"")</f>
        <v>0.78378378378378377</v>
      </c>
      <c r="S11" s="18" t="s">
        <v>213</v>
      </c>
    </row>
    <row r="12" spans="1:23" hidden="1">
      <c r="C12" s="16" t="str">
        <f>'DSL WEEK 2'!B6</f>
        <v>Biokleen 1LITRE</v>
      </c>
      <c r="D12" s="44">
        <f>'DSL WEEK 2'!K6</f>
        <v>6</v>
      </c>
      <c r="E12" s="37" t="s">
        <v>210</v>
      </c>
      <c r="F12" s="10"/>
      <c r="G12" s="42"/>
      <c r="H12" s="42"/>
      <c r="I12" s="47"/>
      <c r="J12" s="18"/>
      <c r="K12" s="47"/>
      <c r="L12" s="47"/>
      <c r="M12" s="47"/>
      <c r="N12" s="47"/>
      <c r="O12" s="47"/>
      <c r="P12" s="47"/>
      <c r="Q12" s="37" t="s">
        <v>217</v>
      </c>
      <c r="R12" s="54"/>
      <c r="S12" s="18"/>
    </row>
    <row r="13" spans="1:23" hidden="1">
      <c r="C13" s="16" t="str">
        <f>'DSL WEEK 2'!B7</f>
        <v>Biokleen 20 Litres.</v>
      </c>
      <c r="D13" s="44">
        <f>'DSL WEEK 2'!K7</f>
        <v>0</v>
      </c>
      <c r="E13" s="37" t="s">
        <v>210</v>
      </c>
      <c r="F13" s="10"/>
      <c r="G13" s="42"/>
      <c r="H13" s="42"/>
      <c r="I13" s="47"/>
      <c r="J13" s="18"/>
      <c r="K13" s="47"/>
      <c r="L13" s="47"/>
      <c r="M13" s="47"/>
      <c r="N13" s="47"/>
      <c r="O13" s="47"/>
      <c r="P13" s="47"/>
      <c r="Q13" s="37" t="s">
        <v>217</v>
      </c>
      <c r="R13" s="54"/>
      <c r="S13" s="18"/>
    </row>
    <row r="14" spans="1:23">
      <c r="C14" s="94" t="str">
        <f>'DSL WEEK 2'!B14</f>
        <v xml:space="preserve">Terminator 1ltr </v>
      </c>
      <c r="D14" s="93">
        <f>'DSL WEEK 2'!K14</f>
        <v>12</v>
      </c>
      <c r="E14" s="37" t="s">
        <v>210</v>
      </c>
      <c r="F14" s="36"/>
      <c r="G14" s="40">
        <v>45443</v>
      </c>
      <c r="H14" s="40">
        <v>46142</v>
      </c>
      <c r="I14" s="36"/>
      <c r="J14" s="36"/>
      <c r="K14" s="47">
        <v>533</v>
      </c>
      <c r="L14" s="47">
        <v>699</v>
      </c>
      <c r="M14" s="47">
        <v>175</v>
      </c>
      <c r="N14" s="47">
        <v>175</v>
      </c>
      <c r="O14" s="47">
        <v>175</v>
      </c>
      <c r="P14" s="47">
        <v>175</v>
      </c>
      <c r="Q14" s="37" t="s">
        <v>212</v>
      </c>
      <c r="R14" s="36">
        <v>0.76251788268955656</v>
      </c>
      <c r="S14" s="18" t="s">
        <v>213</v>
      </c>
    </row>
    <row r="15" spans="1:23">
      <c r="C15" s="94" t="str">
        <f>'DSL WEEK 2'!B6</f>
        <v>Biokleen 1LITRE</v>
      </c>
      <c r="D15" s="93">
        <f>'DSL WEEK 2'!K6</f>
        <v>6</v>
      </c>
      <c r="E15" s="37" t="s">
        <v>237</v>
      </c>
      <c r="F15" s="36"/>
      <c r="G15" s="40">
        <v>45443</v>
      </c>
      <c r="H15" s="40">
        <v>46142</v>
      </c>
      <c r="I15" s="36"/>
      <c r="J15" s="36"/>
      <c r="K15" s="47">
        <v>533</v>
      </c>
      <c r="L15" s="47">
        <v>699</v>
      </c>
      <c r="M15" s="47">
        <v>175</v>
      </c>
      <c r="N15" s="47">
        <v>175</v>
      </c>
      <c r="O15" s="47">
        <v>175</v>
      </c>
      <c r="P15" s="47">
        <v>175</v>
      </c>
      <c r="Q15" s="37" t="s">
        <v>212</v>
      </c>
      <c r="R15" s="36">
        <v>0.76251788268955656</v>
      </c>
      <c r="S15" s="18" t="s">
        <v>213</v>
      </c>
    </row>
    <row r="16" spans="1:23">
      <c r="C16" s="94"/>
      <c r="D16" s="93"/>
      <c r="E16" s="37"/>
      <c r="F16" s="36"/>
      <c r="G16" s="40"/>
      <c r="H16" s="40"/>
      <c r="I16" s="36"/>
      <c r="J16" s="36"/>
      <c r="K16" s="47"/>
      <c r="L16" s="47"/>
      <c r="M16" s="47"/>
      <c r="N16" s="47"/>
      <c r="O16" s="47"/>
      <c r="P16" s="47"/>
      <c r="Q16" s="37"/>
      <c r="R16" s="36"/>
      <c r="S16" s="18"/>
    </row>
    <row r="17" spans="3:19">
      <c r="C17" s="94"/>
      <c r="D17" s="93"/>
      <c r="E17" s="37"/>
      <c r="F17" s="36"/>
      <c r="G17" s="40"/>
      <c r="H17" s="40"/>
      <c r="I17" s="36"/>
      <c r="J17" s="36"/>
      <c r="K17" s="47"/>
      <c r="L17" s="47"/>
      <c r="M17" s="47"/>
      <c r="N17" s="47"/>
      <c r="O17" s="47"/>
      <c r="P17" s="47"/>
      <c r="Q17" s="37"/>
      <c r="R17" s="36"/>
      <c r="S17" s="18"/>
    </row>
    <row r="19" spans="3:19">
      <c r="K19" s="47"/>
      <c r="L19" s="47"/>
    </row>
    <row r="20" spans="3:19">
      <c r="K20" s="47"/>
      <c r="L20" s="47"/>
    </row>
  </sheetData>
  <conditionalFormatting sqref="R11:R13">
    <cfRule type="containsText" dxfId="4" priority="5" operator="containsText" text="Warning">
      <formula>NOT(ISERROR(SEARCH("Warning",R11)))</formula>
    </cfRule>
    <cfRule type="containsText" dxfId="3" priority="6" operator="containsText" text="Barely Fair">
      <formula>NOT(ISERROR(SEARCH("Barely Fair",R11)))</formula>
    </cfRule>
    <cfRule type="containsText" dxfId="2" priority="7" operator="containsText" text="Good 2">
      <formula>NOT(ISERROR(SEARCH("Good 2",R11)))</formula>
    </cfRule>
    <cfRule type="containsText" dxfId="1" priority="8" operator="containsText" text="Good 1">
      <formula>NOT(ISERROR(SEARCH("Good 1",R11)))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workbookViewId="0">
      <pane xSplit="8" ySplit="8" topLeftCell="I9" activePane="bottomRight" state="frozen"/>
      <selection pane="topRight"/>
      <selection pane="bottomLeft"/>
      <selection pane="bottomRight" activeCell="D13" sqref="D13"/>
    </sheetView>
  </sheetViews>
  <sheetFormatPr defaultColWidth="9" defaultRowHeight="15"/>
  <cols>
    <col min="1" max="1" width="5" customWidth="1"/>
    <col min="2" max="2" width="28.85546875" customWidth="1"/>
    <col min="4" max="4" width="11.85546875" customWidth="1"/>
    <col min="5" max="5" width="11.5703125" customWidth="1"/>
    <col min="6" max="6" width="12.42578125" customWidth="1"/>
    <col min="10" max="10" width="13.42578125" customWidth="1"/>
    <col min="11" max="11" width="21.28515625" style="1" customWidth="1"/>
    <col min="12" max="12" width="36.5703125" style="1" customWidth="1"/>
  </cols>
  <sheetData>
    <row r="1" spans="1:13" ht="29.25">
      <c r="A1" s="2"/>
      <c r="B1" s="3"/>
      <c r="C1" s="4"/>
      <c r="D1" s="2"/>
      <c r="E1" s="2"/>
      <c r="F1" s="2"/>
      <c r="G1" s="2"/>
      <c r="H1" s="2"/>
      <c r="I1" s="2"/>
      <c r="J1" s="2"/>
      <c r="K1" s="4"/>
      <c r="L1" s="4"/>
    </row>
    <row r="2" spans="1:13" ht="15.75">
      <c r="A2" s="5" t="s">
        <v>49</v>
      </c>
      <c r="B2" s="6" t="s">
        <v>50</v>
      </c>
      <c r="C2" s="7"/>
      <c r="D2" s="5" t="s">
        <v>51</v>
      </c>
      <c r="E2" s="8">
        <f ca="1">F2</f>
        <v>46044.747614236112</v>
      </c>
      <c r="F2" s="9">
        <f ca="1">NOW()</f>
        <v>46044.747614236112</v>
      </c>
      <c r="G2" s="10"/>
      <c r="H2" s="11" t="str">
        <f ca="1">"Week"&amp;" "&amp;WEEKNUM(E2)</f>
        <v>Week 4</v>
      </c>
      <c r="I2" s="5"/>
      <c r="J2" s="5"/>
      <c r="K2" s="7"/>
      <c r="L2" s="7" t="s">
        <v>52</v>
      </c>
      <c r="M2" t="s">
        <v>220</v>
      </c>
    </row>
    <row r="3" spans="1:13">
      <c r="A3" s="12"/>
      <c r="B3" s="13" t="s">
        <v>59</v>
      </c>
      <c r="C3" t="s">
        <v>55</v>
      </c>
      <c r="D3" s="14" t="s">
        <v>3</v>
      </c>
      <c r="E3" s="14" t="s">
        <v>8</v>
      </c>
      <c r="F3" s="14" t="s">
        <v>6</v>
      </c>
      <c r="G3" s="14" t="s">
        <v>4</v>
      </c>
      <c r="H3" s="14" t="s">
        <v>7</v>
      </c>
      <c r="I3" s="24" t="s">
        <v>56</v>
      </c>
      <c r="J3" s="14" t="s">
        <v>57</v>
      </c>
      <c r="K3" s="7" t="s">
        <v>58</v>
      </c>
      <c r="L3" s="25"/>
    </row>
    <row r="4" spans="1:13" ht="15.75">
      <c r="A4" s="15">
        <v>1</v>
      </c>
      <c r="B4" s="16" t="s">
        <v>84</v>
      </c>
      <c r="D4" s="17"/>
      <c r="E4" s="18"/>
      <c r="F4" s="18"/>
      <c r="G4" s="18"/>
      <c r="H4" s="19"/>
      <c r="I4" s="18"/>
      <c r="J4" s="26">
        <f t="shared" ref="J4" si="0">D4+E4+F4+G4+H4+I4</f>
        <v>0</v>
      </c>
      <c r="K4" s="7"/>
      <c r="L4" s="25"/>
    </row>
    <row r="5" spans="1:13">
      <c r="A5" s="12"/>
      <c r="B5" s="20" t="s">
        <v>90</v>
      </c>
      <c r="C5" s="7" t="s">
        <v>55</v>
      </c>
      <c r="D5" s="17"/>
      <c r="E5" s="18"/>
      <c r="F5" s="18"/>
      <c r="G5" s="18"/>
      <c r="H5" s="19"/>
      <c r="I5" s="18"/>
      <c r="J5" s="26">
        <f t="shared" ref="J5:J13" si="1">D5+E5+F5+G5+H5+I5</f>
        <v>0</v>
      </c>
      <c r="K5" s="10"/>
      <c r="L5" s="10"/>
    </row>
    <row r="6" spans="1:13" ht="15.75">
      <c r="A6" s="15">
        <v>1</v>
      </c>
      <c r="B6" s="16" t="s">
        <v>95</v>
      </c>
      <c r="C6" s="10" t="s">
        <v>92</v>
      </c>
      <c r="D6" s="17">
        <v>0</v>
      </c>
      <c r="E6" s="18"/>
      <c r="F6" s="18"/>
      <c r="G6" s="18"/>
      <c r="H6" s="19"/>
      <c r="I6" s="18"/>
      <c r="J6" s="26">
        <f t="shared" si="1"/>
        <v>0</v>
      </c>
      <c r="K6" s="10">
        <v>300</v>
      </c>
      <c r="L6" s="10" t="s">
        <v>63</v>
      </c>
      <c r="M6" s="27"/>
    </row>
    <row r="7" spans="1:13">
      <c r="A7" s="12"/>
      <c r="B7" s="21" t="s">
        <v>97</v>
      </c>
      <c r="C7" s="10"/>
      <c r="D7" s="17"/>
      <c r="E7" s="18"/>
      <c r="F7" s="18"/>
      <c r="G7" s="18"/>
      <c r="H7" s="18"/>
      <c r="I7" s="19"/>
      <c r="J7" s="26">
        <f t="shared" si="1"/>
        <v>0</v>
      </c>
      <c r="K7" s="10"/>
      <c r="L7" s="10"/>
      <c r="M7" s="27"/>
    </row>
    <row r="8" spans="1:13">
      <c r="A8" s="12"/>
      <c r="B8" s="20" t="s">
        <v>98</v>
      </c>
      <c r="C8" s="7" t="s">
        <v>55</v>
      </c>
      <c r="D8" s="17"/>
      <c r="E8" s="18"/>
      <c r="F8" s="18"/>
      <c r="G8" s="18"/>
      <c r="H8" s="18"/>
      <c r="I8" s="19"/>
      <c r="J8" s="26">
        <f t="shared" si="1"/>
        <v>0</v>
      </c>
      <c r="K8" s="10" t="s">
        <v>58</v>
      </c>
      <c r="L8" s="10"/>
      <c r="M8" s="27"/>
    </row>
    <row r="9" spans="1:13" ht="15.75">
      <c r="A9" s="15">
        <v>1</v>
      </c>
      <c r="B9" s="16" t="s">
        <v>103</v>
      </c>
      <c r="C9" s="10" t="s">
        <v>62</v>
      </c>
      <c r="D9" s="17">
        <f>'DSL WEEK 2'!E38</f>
        <v>0</v>
      </c>
      <c r="E9" s="17">
        <f>'DSL WEEK 2'!F38</f>
        <v>0</v>
      </c>
      <c r="F9" s="17">
        <f>'DSL WEEK 2'!G38</f>
        <v>0</v>
      </c>
      <c r="G9" s="17">
        <f>'DSL WEEK 2'!H38</f>
        <v>0</v>
      </c>
      <c r="H9" s="17">
        <f>'DSL WEEK 2'!I38</f>
        <v>0</v>
      </c>
      <c r="I9" s="17">
        <f>'DSL WEEK 2'!J38</f>
        <v>0</v>
      </c>
      <c r="J9" s="17">
        <f>'DSL WEEK 2'!K38</f>
        <v>0</v>
      </c>
      <c r="K9" s="28">
        <f>'DSL WEEK 2'!L38</f>
        <v>5000</v>
      </c>
      <c r="L9" s="28" t="str">
        <f>'DSL WEEK 2'!M38</f>
        <v>FAST MOVING PRODUCTS</v>
      </c>
      <c r="M9" s="27"/>
    </row>
    <row r="10" spans="1:13" ht="15.75">
      <c r="A10" s="15">
        <f>A9+1</f>
        <v>2</v>
      </c>
      <c r="B10" s="16" t="s">
        <v>101</v>
      </c>
      <c r="C10" s="10" t="s">
        <v>62</v>
      </c>
      <c r="D10" s="17">
        <f>'DSL WEEK 2'!E37</f>
        <v>0</v>
      </c>
      <c r="E10" s="17">
        <f>'DSL WEEK 2'!F37</f>
        <v>0</v>
      </c>
      <c r="F10" s="17">
        <f>'DSL WEEK 2'!G37</f>
        <v>0</v>
      </c>
      <c r="G10" s="17">
        <f>'DSL WEEK 2'!H37</f>
        <v>0</v>
      </c>
      <c r="H10" s="17">
        <f>'DSL WEEK 2'!I37</f>
        <v>0</v>
      </c>
      <c r="I10" s="17">
        <f>'DSL WEEK 2'!J37</f>
        <v>0</v>
      </c>
      <c r="J10" s="17">
        <f>'DSL WEEK 2'!K37</f>
        <v>0</v>
      </c>
      <c r="K10" s="28">
        <v>5000</v>
      </c>
      <c r="L10" s="28" t="str">
        <f>'DSL WEEK 2'!M42</f>
        <v>FAST MOVING PRODUCTS</v>
      </c>
      <c r="M10" s="27"/>
    </row>
    <row r="11" spans="1:13">
      <c r="A11" s="12"/>
      <c r="B11" s="20" t="s">
        <v>172</v>
      </c>
      <c r="C11" s="1"/>
      <c r="D11" s="17"/>
      <c r="E11" s="18"/>
      <c r="F11" s="18"/>
      <c r="G11" s="18"/>
      <c r="H11" s="18"/>
      <c r="I11" s="19"/>
      <c r="J11" s="26">
        <f t="shared" si="1"/>
        <v>0</v>
      </c>
      <c r="K11" s="10">
        <v>2000</v>
      </c>
      <c r="M11" s="27"/>
    </row>
    <row r="12" spans="1:13" ht="15.75">
      <c r="A12" s="15">
        <v>1</v>
      </c>
      <c r="B12" s="16" t="s">
        <v>177</v>
      </c>
      <c r="C12" s="10" t="s">
        <v>174</v>
      </c>
      <c r="D12" s="26">
        <v>0</v>
      </c>
      <c r="E12" s="18"/>
      <c r="F12" s="18"/>
      <c r="G12" s="18"/>
      <c r="H12" s="19">
        <v>3</v>
      </c>
      <c r="I12" s="19"/>
      <c r="J12" s="26">
        <f t="shared" si="1"/>
        <v>3</v>
      </c>
      <c r="K12" s="10"/>
      <c r="L12" s="10" t="s">
        <v>70</v>
      </c>
      <c r="M12" s="27"/>
    </row>
    <row r="13" spans="1:13" ht="15.75">
      <c r="A13" s="15">
        <f>A12+1</f>
        <v>2</v>
      </c>
      <c r="B13" s="16" t="s">
        <v>190</v>
      </c>
      <c r="C13" s="10" t="s">
        <v>62</v>
      </c>
      <c r="D13" s="17"/>
      <c r="E13" s="18"/>
      <c r="F13" s="18"/>
      <c r="G13" s="18"/>
      <c r="H13" s="19"/>
      <c r="I13" s="18"/>
      <c r="J13" s="26">
        <f t="shared" si="1"/>
        <v>0</v>
      </c>
      <c r="K13" s="10"/>
      <c r="L13" s="10" t="s">
        <v>70</v>
      </c>
      <c r="M13" s="27"/>
    </row>
    <row r="14" spans="1:13">
      <c r="A14" s="22"/>
      <c r="B14" s="23" t="s">
        <v>171</v>
      </c>
    </row>
  </sheetData>
  <conditionalFormatting sqref="J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{BCB75504-8B73-44C9-8717-E295ECDAB54A}</x14:id>
        </ext>
      </extLst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{8A1850C6-934A-491C-999B-630E300B1465}</x14:id>
        </ext>
      </extLst>
    </cfRule>
  </conditionalFormatting>
  <conditionalFormatting sqref="J4:J8 J11:J13">
    <cfRule type="top10" dxfId="0" priority="4" percent="1" rank="10"/>
  </conditionalFormatting>
  <conditionalFormatting sqref="J5:K8 J11:K13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{6452FFC3-682A-4B3F-BE26-518F44293BED}</x14:id>
        </ext>
      </extLst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L8 J11:L13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{D0B91D34-6F92-420E-A5A6-E102324DA7F6}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75504-8B73-44C9-8717-E295ECDAB5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1850C6-934A-491C-999B-630E300B14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452FFC3-682A-4B3F-BE26-518F44293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J5:K8 J11:K13</xm:sqref>
        </x14:conditionalFormatting>
        <x14:conditionalFormatting xmlns:xm="http://schemas.microsoft.com/office/excel/2006/main">
          <x14:cfRule type="dataBar" id="{D0B91D34-6F92-420E-A5A6-E102324DA7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J5:L8 J11:L13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DSLP RAW MATERIALS WK 2</vt:lpstr>
      <vt:lpstr>DSLP FG WK 2</vt:lpstr>
      <vt:lpstr>DSL WEEK 2</vt:lpstr>
      <vt:lpstr>SLOW MOVING</vt:lpstr>
      <vt:lpstr>SHELF LIFE ANALYSIS</vt:lpstr>
      <vt:lpstr>STOCK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Grace Ogunniyi</cp:lastModifiedBy>
  <dcterms:created xsi:type="dcterms:W3CDTF">2024-01-06T10:55:00Z</dcterms:created>
  <dcterms:modified xsi:type="dcterms:W3CDTF">2026-01-22T16:56:59Z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C5048F5D9CE844FD8E0010A855E55EB3_12</vt:lpwstr>
  </property>
  <property fmtid="{D5CDD505-2E9C-101B-9397-08002B2CF9AE}" pid="3" name="KSOProductBuildVer">
    <vt:lpwstr>1033-12.2.0.21931</vt:lpwstr>
  </property>
</Properties>
</file>